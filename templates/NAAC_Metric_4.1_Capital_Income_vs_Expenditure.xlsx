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5.xml.rels" ContentType="application/vnd.openxmlformats-package.relationships+xml"/>
  <Override PartName="/xl/worksheets/sheet8.xml" ContentType="application/vnd.openxmlformats-officedocument.spreadsheetml.worksheet+xml"/>
  <Override PartName="/xl/sharedStrings.xml" ContentType="application/vnd.openxmlformats-officedocument.spreadsheetml.sharedStrings+xml"/>
  <Override PartName="/xl/drawings/_rels/drawing1.xml.rels" ContentType="application/vnd.openxmlformats-package.relationships+xml"/>
  <Override PartName="/xl/drawings/drawing1.xml" ContentType="application/vnd.openxmlformats-officedocument.drawing+xml"/>
  <Override PartName="/xl/charts/chart1.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Cover" sheetId="1" state="visible" r:id="rId3"/>
    <sheet name="2. Guidelines" sheetId="2" state="visible" r:id="rId4"/>
    <sheet name="3. Capital Income" sheetId="3" state="visible" r:id="rId5"/>
    <sheet name="4. Capital Expenditure" sheetId="4" state="visible" r:id="rId6"/>
    <sheet name="5. Summary &amp; Ratio" sheetId="5" state="visible" r:id="rId7"/>
    <sheet name="6. Worked Example" sheetId="6" state="visible" r:id="rId8"/>
    <sheet name="7. Document Checklist" sheetId="7" state="visible" r:id="rId9"/>
    <sheet name="8. CA Certificate" sheetId="8" state="visible" r:id="rId10"/>
  </sheets>
  <definedNames>
    <definedName function="false" hidden="false" localSheetId="2" name="_xlnm.Print_Titles" vbProcedure="false">'3. Capital Income'!$5:$5</definedName>
    <definedName function="false" hidden="false" localSheetId="3" name="_xlnm.Print_Titles" vbProcedure="false">'4. Capital Expenditure'!$5:$5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<sst xmlns="http://schemas.openxmlformats.org/spreadsheetml/2006/main" count="659" uniqueCount="434">
  <si>
    <t xml:space="preserve">[UNIVERSITY NAME]</t>
  </si>
  <si>
    <t xml:space="preserve">Internal Quality Assurance Cell (IQAC)</t>
  </si>
  <si>
    <t xml:space="preserve">NAAC Binary Accreditation Framework  |  Attribute 4 – Financial Resources &amp; Management (50)</t>
  </si>
  <si>
    <t xml:space="preserve">Metric 4.1 – Ratio of Capital Income vs Capital Expenditure   (Weightage: 15)</t>
  </si>
  <si>
    <t xml:space="preserve">Data Capture, Computation &amp; Evidence Workbook  •  Financial Years 2025-26, 2024-25, 2023-24 and 2022-23  •  All amounts in INR Lakhs</t>
  </si>
  <si>
    <t xml:space="preserve">ABSTRACT</t>
  </si>
  <si>
    <t xml:space="preserve">This workbook is the institutional tool for preparing NAAC Metric 4.1 – Ratio of Capital Income vs Capital Expenditure. It captures, head-wise, every capital receipt (government capital grants, management/sponsoring-body contributions, loans disbursed and endowments) and every capital expenditure (instructional buildings, academic infrastructure including library, hostels, laboratories and equipment, residences, amenities and payment of rentals) for four financial years – 2025-26, 2024-25, 2023-24 and 2022-23.
All totals, ratios and interpretations are calculated automatically by formula. The Summary sheet reproduces the figures in the exact NAAC data-template format for the three-year assessment period (FY 2023-24 to 2025-26), while FY 2022-23 is retained as a baseline/reference year for trend analysis and in case the notified assessment window differs. Guidelines, a fully worked example, an evidence checklist and a Chartered Accountant (CA) certificate format are included so that the Finance Office and IQAC can submit data that is complete, consistent and fully traceable to audited accounts.</t>
  </si>
  <si>
    <t xml:space="preserve">INTRODUCTION</t>
  </si>
  <si>
    <t xml:space="preserve">Why this metric matters: NAAC uses Metric 4.1 to judge whether an institution mobilises long-term (capital) funds and actually converts them into physical and academic infrastructure. A healthy relationship between capital income and capital expenditure shows sound financial planning, timely utilisation of grants and contributions, and continuous investment in the learning environment.
What is compared:
•  Capital Income – money received specifically for creating long-term assets (not operating revenue).
•  Capital Expenditure – money spent on creating or enhancing long-term assets, plus payment of rentals for academic premises (explicitly included by NAAC).
How it is presented: For each financial year, NAAC asks for (1) the total amount received towards capital and (2) the total amount spent on infrastructure, both in INR Lakhs, supported by audited statements certified by a CA and countersigned by the competent authority.
Link with other metrics: Metric 4.1 deals only with capital items. Operating income and expenditure (fees, salaries, maintenance, electricity, etc.) belong to Metric 4.2. Figures used here must also reconcile with Metric 3.2 (Learning Resources), which uses total expenditure excluding salary.</t>
  </si>
  <si>
    <t xml:space="preserve">OBJECTIVES OF THIS WORKBOOK</t>
  </si>
  <si>
    <t xml:space="preserve">1.  Provide a single, standard format in which the Finance Office records capital income and expenditure head-wise for four financial years.
2.  Compute the Capital Utilisation Ratio, Capital Coverage Ratio, capital surplus/deficit and year-on-year growth automatically.
3.  Generate the NAAC data-template values for the assessment period without manual re-typing.
4.  Link every figure to its source in the audited accounts (schedule / page reference) for verification.
5.  Track availability of every supporting document required by NAAC.</t>
  </si>
  <si>
    <t xml:space="preserve">WORKBOOK STRUCTURE</t>
  </si>
  <si>
    <t xml:space="preserve">Sheet</t>
  </si>
  <si>
    <t xml:space="preserve">Purpose</t>
  </si>
  <si>
    <t xml:space="preserve">Who fills / uses</t>
  </si>
  <si>
    <t xml:space="preserve">Action required</t>
  </si>
  <si>
    <t xml:space="preserve">1. Cover</t>
  </si>
  <si>
    <t xml:space="preserve">Abstract, introduction, objectives and structure of the workbook</t>
  </si>
  <si>
    <t xml:space="preserve">All users</t>
  </si>
  <si>
    <t xml:space="preserve">Read first</t>
  </si>
  <si>
    <t xml:space="preserve">2. Guidelines</t>
  </si>
  <si>
    <t xml:space="preserve">Definitions, include/exclude rules, step-by-step procedure, formulas, interpretation bands, documents and common errors</t>
  </si>
  <si>
    <t xml:space="preserve">Finance Office &amp; IQAC</t>
  </si>
  <si>
    <t xml:space="preserve">Read before entering data</t>
  </si>
  <si>
    <t xml:space="preserve">3. Capital Income</t>
  </si>
  <si>
    <t xml:space="preserve">Head-wise capital receipts for each FY with audit reference</t>
  </si>
  <si>
    <t xml:space="preserve">Finance Office</t>
  </si>
  <si>
    <t xml:space="preserve">Enter figures in cream cells</t>
  </si>
  <si>
    <t xml:space="preserve">4. Capital Expenditure</t>
  </si>
  <si>
    <t xml:space="preserve">Head-wise capital spending for each FY with audit reference</t>
  </si>
  <si>
    <t xml:space="preserve">5. Summary &amp; Ratio</t>
  </si>
  <si>
    <t xml:space="preserve">NAAC data template, ratios, interpretation, composition and chart</t>
  </si>
  <si>
    <t xml:space="preserve">IQAC (auto-calculated)</t>
  </si>
  <si>
    <t xml:space="preserve">Review only – no entry</t>
  </si>
  <si>
    <t xml:space="preserve">6. Worked Example</t>
  </si>
  <si>
    <t xml:space="preserve">Illustration with hypothetical figures explaining how to read the results</t>
  </si>
  <si>
    <t xml:space="preserve">Training / reference</t>
  </si>
  <si>
    <t xml:space="preserve">Read only</t>
  </si>
  <si>
    <t xml:space="preserve">7. Document Checklist</t>
  </si>
  <si>
    <t xml:space="preserve">Status of every supporting document, FY-wise</t>
  </si>
  <si>
    <t xml:space="preserve">IQAC &amp; Finance Office</t>
  </si>
  <si>
    <t xml:space="preserve">Select status from drop-down</t>
  </si>
  <si>
    <t xml:space="preserve">8. CA Certificate</t>
  </si>
  <si>
    <t xml:space="preserve">Certificate format pre-filled from the Summary, for CA signature</t>
  </si>
  <si>
    <t xml:space="preserve">CA / Finance Officer</t>
  </si>
  <si>
    <t xml:space="preserve">Print, verify and sign</t>
  </si>
  <si>
    <t xml:space="preserve">CELL COLOUR LEGEND</t>
  </si>
  <si>
    <t xml:space="preserve">Cream fill, blue text</t>
  </si>
  <si>
    <t xml:space="preserve">Input cell – enter data here (INR Lakhs, two decimals)</t>
  </si>
  <si>
    <t xml:space="preserve">Light navy fill, black text</t>
  </si>
  <si>
    <t xml:space="preserve">Formula / subtotal – do not overwrite</t>
  </si>
  <si>
    <t xml:space="preserve">Green text</t>
  </si>
  <si>
    <t xml:space="preserve">Value linked from another sheet – do not overwrite</t>
  </si>
  <si>
    <t xml:space="preserve">Navy fill, gold/white text</t>
  </si>
  <si>
    <t xml:space="preserve">Headings and sections</t>
  </si>
  <si>
    <t xml:space="preserve">Prepared by: IQAC, [University Name]   |   Version 1.0   |   Basis: NAAC Binary Accreditation Framework – Metrics for Manual (Base), Draft Version</t>
  </si>
  <si>
    <t xml:space="preserve">Note: The NAAC draft names the ratio but does not publish a scoring formula or bands. Interpretation bands in this workbook are indicative IQAC guidance; update them when NAAC notifies the final SOP.</t>
  </si>
  <si>
    <t xml:space="preserve">GUIDELINES FOR PREPARING METRIC 4.1</t>
  </si>
  <si>
    <t xml:space="preserve">G1.  ASSESSMENT PERIOD AND YEAR BASIS</t>
  </si>
  <si>
    <t xml:space="preserve">•  Use FINANCIAL YEARS (1 April – 31 March), not academic years.
•  NAAC assessment period = last three completed financial years: FY 2025-26 (Year-3, latest), FY 2024-25 (Year-2) and FY 2023-24 (Year-1).
•  FY 2022-23 is captured as a baseline year for trend analysis and as a reserve in case the notified assessment window is different. It is NOT included in the NAAC three-year totals.
•  All amounts in INR Lakhs, rounded to two decimals (₹1,00,000 = 1.00 Lakh).</t>
  </si>
  <si>
    <t xml:space="preserve">G2.  STEP-BY-STEP PROCEDURE</t>
  </si>
  <si>
    <t xml:space="preserve">Step</t>
  </si>
  <si>
    <t xml:space="preserve">Activity</t>
  </si>
  <si>
    <t xml:space="preserve">How to do it</t>
  </si>
  <si>
    <t xml:space="preserve">Responsibility / Output</t>
  </si>
  <si>
    <t xml:space="preserve">1</t>
  </si>
  <si>
    <t xml:space="preserve">Collect audited accounts</t>
  </si>
  <si>
    <t xml:space="preserve">Obtain audited Balance Sheet, Income &amp; Expenditure Account, Receipts &amp; Payments Account and all schedules for each of the four FYs</t>
  </si>
  <si>
    <t xml:space="preserve">Finance Office – signed audited statements</t>
  </si>
  <si>
    <t xml:space="preserve">2</t>
  </si>
  <si>
    <t xml:space="preserve">Identify capital receipts</t>
  </si>
  <si>
    <t xml:space="preserve">From the Balance Sheet (capital fund, corpus, earmarked funds, secured loans) and Receipts &amp; Payments, list amounts actually RECEIVED during each FY</t>
  </si>
  <si>
    <t xml:space="preserve">Finance Office – working list</t>
  </si>
  <si>
    <t xml:space="preserve">3</t>
  </si>
  <si>
    <t xml:space="preserve">Classify income</t>
  </si>
  <si>
    <t xml:space="preserve">Map each receipt to one head in Sheet 3 using the include/exclude rules in G3</t>
  </si>
  <si>
    <t xml:space="preserve">4</t>
  </si>
  <si>
    <t xml:space="preserve">Identify capital expenditure</t>
  </si>
  <si>
    <t xml:space="preserve">From the Fixed Asset Schedule take ADDITIONS during the year (including Capital Work-in-Progress) and add rent paid for leased academic premises</t>
  </si>
  <si>
    <t xml:space="preserve">5</t>
  </si>
  <si>
    <t xml:space="preserve">Classify expenditure</t>
  </si>
  <si>
    <t xml:space="preserve">Map each item to one head in Sheet 4 using G4. Count every rupee only once</t>
  </si>
  <si>
    <t xml:space="preserve">6</t>
  </si>
  <si>
    <t xml:space="preserve">Enter data</t>
  </si>
  <si>
    <t xml:space="preserve">Type figures in cream input cells only; write the schedule/page reference of the audited accounts in the 'Audit Reference' column</t>
  </si>
  <si>
    <t xml:space="preserve">7</t>
  </si>
  <si>
    <t xml:space="preserve">Review results</t>
  </si>
  <si>
    <t xml:space="preserve">Check Sheet 5 – totals, ratios, interpretation and the reconciliation checks</t>
  </si>
  <si>
    <t xml:space="preserve">IQAC Director</t>
  </si>
  <si>
    <t xml:space="preserve">8</t>
  </si>
  <si>
    <t xml:space="preserve">Obtain CA certificate</t>
  </si>
  <si>
    <t xml:space="preserve">Print Sheet 8, have the statutory/internal CA verify against audited accounts and sign; countersign by Registrar / Finance Officer</t>
  </si>
  <si>
    <t xml:space="preserve">CA &amp; competent authority</t>
  </si>
  <si>
    <t xml:space="preserve">9</t>
  </si>
  <si>
    <t xml:space="preserve">Highlight evidence</t>
  </si>
  <si>
    <t xml:space="preserve">Highlight the relevant lines in the audited statements for each FY and scan them</t>
  </si>
  <si>
    <t xml:space="preserve">10</t>
  </si>
  <si>
    <t xml:space="preserve">Upload</t>
  </si>
  <si>
    <t xml:space="preserve">Enter the three-year values from Sheet 5 (Section A) on the NAAC portal and upload the CA certificate and highlighted audited statements</t>
  </si>
  <si>
    <t xml:space="preserve">IQAC</t>
  </si>
  <si>
    <t xml:space="preserve">G3.  CAPITAL INCOME – WHAT TO INCLUDE AND EXCLUDE</t>
  </si>
  <si>
    <t xml:space="preserve">Code</t>
  </si>
  <si>
    <t xml:space="preserve">Head</t>
  </si>
  <si>
    <t xml:space="preserve">Include</t>
  </si>
  <si>
    <t xml:space="preserve">Exclude / Where to look</t>
  </si>
  <si>
    <t xml:space="preserve">A</t>
  </si>
  <si>
    <t xml:space="preserve">Government grants (capital / non-recurring)</t>
  </si>
  <si>
    <t xml:space="preserve">Grants from UGC, MoE, RUSA, State Government, DST-FIST, AICTE schemes etc. sanctioned for buildings, equipment or infrastructure – amount actually released in the FY</t>
  </si>
  <si>
    <t xml:space="preserve">Exclude salary grants and recurring grants (go to 4.2). Source: grant ledger, sanction letters, Utilisation Certificates</t>
  </si>
  <si>
    <t xml:space="preserve">B</t>
  </si>
  <si>
    <t xml:space="preserve">Management / sponsoring-body contributions</t>
  </si>
  <si>
    <t xml:space="preserve">Funds infused by the Trust / Society / sponsoring body for capital purposes; corpus transferred for infrastructure</t>
  </si>
  <si>
    <t xml:space="preserve">Exclude contributions meant to meet operating deficits. Source: capital fund schedule, Trust resolutions, bank statements</t>
  </si>
  <si>
    <t xml:space="preserve">C</t>
  </si>
  <si>
    <t xml:space="preserve">Loans (disbursed)</t>
  </si>
  <si>
    <t xml:space="preserve">Term loans from banks, HEFA or financial institutions actually DISBURSED in the FY for infrastructure</t>
  </si>
  <si>
    <t xml:space="preserve">Exclude sanctioned-but-undisbursed amounts, overdraft/working-capital limits, loan repayments. Source: secured-loan schedule, disbursement advice</t>
  </si>
  <si>
    <t xml:space="preserve">D</t>
  </si>
  <si>
    <t xml:space="preserve">Endowments &amp; donations (capital)</t>
  </si>
  <si>
    <t xml:space="preserve">Endowments, capital donations, alumni contributions and CSR funds received for buildings, labs, equipment</t>
  </si>
  <si>
    <t xml:space="preserve">Exclude endowments whose interest funds scholarships or prizes (revenue). Source: endowment schedule, donation receipts, CSR agreements</t>
  </si>
  <si>
    <t xml:space="preserve">E</t>
  </si>
  <si>
    <t xml:space="preserve">Any other capital receipts</t>
  </si>
  <si>
    <t xml:space="preserve">Any other receipt explicitly earmarked for capital assets – specify in Remarks</t>
  </si>
  <si>
    <t xml:space="preserve">Exclude fee income, consultancy, R&amp;D project overheads</t>
  </si>
  <si>
    <t xml:space="preserve">G4.  CAPITAL EXPENDITURE – WHAT TO INCLUDE AND EXCLUDE</t>
  </si>
  <si>
    <t xml:space="preserve">Instructional buildings</t>
  </si>
  <si>
    <t xml:space="preserve">New academic blocks, extensions, classrooms, building CWIP additions</t>
  </si>
  <si>
    <t xml:space="preserve">Exclude repairs, painting, maintenance (revenue). Source: fixed asset schedule – buildings &amp; CWIP</t>
  </si>
  <si>
    <t xml:space="preserve">Academic infrastructure incl. library</t>
  </si>
  <si>
    <t xml:space="preserve">Library building/furniture, capitalised books &amp; e-resources, smart classrooms, academic furniture</t>
  </si>
  <si>
    <t xml:space="preserve">Exclude annual subscriptions treated as revenue in accounts. Source: fixed asset schedule – library, furniture</t>
  </si>
  <si>
    <t xml:space="preserve">Hostels</t>
  </si>
  <si>
    <t xml:space="preserve">Construction, extension and furnishing of hostels</t>
  </si>
  <si>
    <t xml:space="preserve">Exclude hostel running cost, mess expenses</t>
  </si>
  <si>
    <t xml:space="preserve">Laboratories &amp; equipment</t>
  </si>
  <si>
    <t xml:space="preserve">Lab equipment, computers, servers, networking, research instruments, software capitalised</t>
  </si>
  <si>
    <t xml:space="preserve">Exclude consumables, AMC, calibration charges</t>
  </si>
  <si>
    <t xml:space="preserve">Residences</t>
  </si>
  <si>
    <t xml:space="preserve">Staff quarters, guest house (if residential)</t>
  </si>
  <si>
    <t xml:space="preserve">Exclude repairs and upkeep</t>
  </si>
  <si>
    <t xml:space="preserve">Amenities</t>
  </si>
  <si>
    <t xml:space="preserve">Sports facilities, auditorium, canteen, solar plant, STP/RWH, CCTV, vehicles, lifts/ramps</t>
  </si>
  <si>
    <t xml:space="preserve">Exclude electricity bills, fuel, routine maintenance</t>
  </si>
  <si>
    <t xml:space="preserve">Payment of rentals</t>
  </si>
  <si>
    <t xml:space="preserve">Rent paid for leased academic/hostel premises (NAAC explicitly includes this)</t>
  </si>
  <si>
    <t xml:space="preserve">Exclude rent for non-academic purposes; avoid double counting with 4.2</t>
  </si>
  <si>
    <t xml:space="preserve">Any other capital expenditure</t>
  </si>
  <si>
    <t xml:space="preserve">Other assets capitalised in accounts – specify in Remarks</t>
  </si>
  <si>
    <t xml:space="preserve">Exclude anything not capitalised in audited accounts (except rentals)</t>
  </si>
  <si>
    <t xml:space="preserve">G5.  FORMULAS USED IN THIS WORKBOOK</t>
  </si>
  <si>
    <t xml:space="preserve">#</t>
  </si>
  <si>
    <t xml:space="preserve">Indicator</t>
  </si>
  <si>
    <t xml:space="preserve">Formula</t>
  </si>
  <si>
    <t xml:space="preserve">Meaning</t>
  </si>
  <si>
    <t xml:space="preserve">Total Capital Income</t>
  </si>
  <si>
    <t xml:space="preserve">A + B + C + D + E</t>
  </si>
  <si>
    <t xml:space="preserve">Total amount received towards capital in the FY</t>
  </si>
  <si>
    <t xml:space="preserve">Total Capital Expenditure</t>
  </si>
  <si>
    <t xml:space="preserve">1 + 2 + 3 + 4 + 5 + 6 + 7 + 8</t>
  </si>
  <si>
    <t xml:space="preserve">Total amount spent towards infrastructure in the FY</t>
  </si>
  <si>
    <t xml:space="preserve">Capital Utilisation Ratio</t>
  </si>
  <si>
    <t xml:space="preserve">Total Capital Expenditure ÷ Total Capital Income</t>
  </si>
  <si>
    <t xml:space="preserve">Rupees spent on infrastructure for every rupee of capital received (key indicator)</t>
  </si>
  <si>
    <t xml:space="preserve">Capital Coverage Ratio</t>
  </si>
  <si>
    <t xml:space="preserve">Total Capital Income ÷ Total Capital Expenditure</t>
  </si>
  <si>
    <t xml:space="preserve">Extent to which infrastructure spending is funded by capital sources</t>
  </si>
  <si>
    <t xml:space="preserve">Capital Surplus / (Deficit)</t>
  </si>
  <si>
    <t xml:space="preserve">Total Capital Income – Total Capital Expenditure</t>
  </si>
  <si>
    <t xml:space="preserve">Positive = unspent capital; negative = capex funded from revenue surplus</t>
  </si>
  <si>
    <t xml:space="preserve">Year-on-Year Growth</t>
  </si>
  <si>
    <t xml:space="preserve">(Current FY ÷ Previous FY) – 1</t>
  </si>
  <si>
    <t xml:space="preserve">Trend in capital mobilisation and investment</t>
  </si>
  <si>
    <t xml:space="preserve">Three-Year Aggregate Ratio</t>
  </si>
  <si>
    <t xml:space="preserve">Σ CapEx (FY 23-24 to 25-26) ÷ Σ CapInc (FY 23-24 to 25-26)</t>
  </si>
  <si>
    <t xml:space="preserve">Overall position for the NAAC assessment period</t>
  </si>
  <si>
    <t xml:space="preserve">G6.  INTERPRETATION BANDS (INDICATIVE – IQAC GUIDANCE)</t>
  </si>
  <si>
    <t xml:space="preserve">Band</t>
  </si>
  <si>
    <t xml:space="preserve">Interpretation</t>
  </si>
  <si>
    <t xml:space="preserve">Suggested action</t>
  </si>
  <si>
    <t xml:space="preserve">I</t>
  </si>
  <si>
    <t xml:space="preserve">Below 0.50</t>
  </si>
  <si>
    <t xml:space="preserve">Low utilisation – large part of capital receipts unspent</t>
  </si>
  <si>
    <t xml:space="preserve">Explain unspent balance (e.g., project under tendering); show utilisation plan</t>
  </si>
  <si>
    <t xml:space="preserve">II</t>
  </si>
  <si>
    <t xml:space="preserve">0.50 – 0.79</t>
  </si>
  <si>
    <t xml:space="preserve">Moderate utilisation</t>
  </si>
  <si>
    <t xml:space="preserve">Show CWIP and committed orders to demonstrate deployment</t>
  </si>
  <si>
    <t xml:space="preserve">III</t>
  </si>
  <si>
    <t xml:space="preserve">0.80 – 1.20</t>
  </si>
  <si>
    <t xml:space="preserve">Balanced / optimal – funds raised are deployed productively</t>
  </si>
  <si>
    <t xml:space="preserve">Strongest position; highlight major assets created</t>
  </si>
  <si>
    <t xml:space="preserve">IV</t>
  </si>
  <si>
    <t xml:space="preserve">Above 1.20</t>
  </si>
  <si>
    <t xml:space="preserve">Capex exceeds capital receipts – infrastructure funded from revenue surplus or past reserves</t>
  </si>
  <si>
    <t xml:space="preserve">Explain source (revenue surplus, opening capital balance); check impact on Metric 4.2</t>
  </si>
  <si>
    <t xml:space="preserve">G7.  SUPPORTING DOCUMENTS REQUIRED BY NAAC</t>
  </si>
  <si>
    <t xml:space="preserve">1.  Audited Income &amp; Expenditure statement of the institution, signed by the CA and countersigned by the competent authority, with the specific capital components HIGHLIGHTED.
2.  Audit extracts of the same, certified by the CA (use the format in Sheet 8).
Recommended additional evidence: Balance Sheet with schedules, Fixed Asset Schedule (additions and CWIP), grant sanction letters and Utilisation Certificates, loan disbursement advice, Trust resolutions for capital contribution, endowment/donation deeds, lease agreements and rent receipts. Track these in Sheet 7.</t>
  </si>
  <si>
    <t xml:space="preserve">G8.  COMMON ERRORS AND HOW TO AVOID THEM</t>
  </si>
  <si>
    <t xml:space="preserve">Error</t>
  </si>
  <si>
    <t xml:space="preserve">Consequence</t>
  </si>
  <si>
    <t xml:space="preserve">Prevention</t>
  </si>
  <si>
    <t xml:space="preserve">Using sanctioned instead of received / disbursed amounts</t>
  </si>
  <si>
    <t xml:space="preserve">Inflated capital income; fails verification</t>
  </si>
  <si>
    <t xml:space="preserve">Use only amounts credited to bank in the FY</t>
  </si>
  <si>
    <t xml:space="preserve">Booking repairs/maintenance as capital expenditure</t>
  </si>
  <si>
    <t xml:space="preserve">Inflated 4.1, mismatch with 4.2 and audited accounts</t>
  </si>
  <si>
    <t xml:space="preserve">Take only 'Additions' from the Fixed Asset Schedule</t>
  </si>
  <si>
    <t xml:space="preserve">Counting CWIP and the completed asset twice</t>
  </si>
  <si>
    <t xml:space="preserve">Double counting</t>
  </si>
  <si>
    <t xml:space="preserve">Count CWIP additions in the year incurred; on capitalisation, count only the balance not already counted</t>
  </si>
  <si>
    <t xml:space="preserve">Mixing academic years and financial years</t>
  </si>
  <si>
    <t xml:space="preserve">Data inconsistency across metrics</t>
  </si>
  <si>
    <t xml:space="preserve">Always April–March for Attribute 4</t>
  </si>
  <si>
    <t xml:space="preserve">Figures not traceable to audited accounts</t>
  </si>
  <si>
    <t xml:space="preserve">Claim rejected by DVV</t>
  </si>
  <si>
    <t xml:space="preserve">Fill 'Audit Reference' for every non-zero entry</t>
  </si>
  <si>
    <t xml:space="preserve">Missing countersignature or highlighting</t>
  </si>
  <si>
    <t xml:space="preserve">Document treated as invalid</t>
  </si>
  <si>
    <t xml:space="preserve">Use Sheet 7 checklist before upload</t>
  </si>
  <si>
    <t xml:space="preserve">Forgetting rentals of leased premises</t>
  </si>
  <si>
    <t xml:space="preserve">Understated capex</t>
  </si>
  <si>
    <t xml:space="preserve">Check lease register with Estate Office</t>
  </si>
  <si>
    <t xml:space="preserve">G9.  CONSISTENCY CHECKS WITH OTHER METRICS</t>
  </si>
  <si>
    <t xml:space="preserve">•  Metric 3.2: 'Total Expenditure excluding salary' must reconcile with the expenditure figures reported here and in 4.2.
•  Metric 4.2: No item should appear in both capital (4.1) and revenue (4.2). Rentals counted here must not be repeated in 4.2.
•  Metric 3.1 / 3.4: Major assets reported in infrastructure and IT metrics (labs, hostels, computers) should appear as capital expenditure in the relevant year.
•  Metric 4.3: Corpus creation reported for sustainability should match capital-fund movements in the Balance Sheet.</t>
  </si>
  <si>
    <t xml:space="preserve">SHEET 3 – CAPITAL INCOME (INR LAKHS)</t>
  </si>
  <si>
    <t xml:space="preserve">Record the amount RECEIVED towards capital in each financial year – Government grants, management contributions, loans, endowments etc. Use only amounts actually credited during the FY (not sanctioned amounts). Source: Balance Sheet schedules (Capital Fund, Corpus, Earmarked Funds, Secured Loans), Receipts &amp; Payments Account, grant and loan ledgers.</t>
  </si>
  <si>
    <t xml:space="preserve">Head / Sub-head (INR Lakhs)</t>
  </si>
  <si>
    <t xml:space="preserve">FY 2025-26</t>
  </si>
  <si>
    <t xml:space="preserve">FY 2024-25</t>
  </si>
  <si>
    <t xml:space="preserve">FY 2023-24</t>
  </si>
  <si>
    <t xml:space="preserve">FY 2022-23</t>
  </si>
  <si>
    <t xml:space="preserve">NAAC 3-Yr Total
(FY 23-24 to 25-26)</t>
  </si>
  <si>
    <t xml:space="preserve">4-Yr Total
(FY 22-23 to 25-26)</t>
  </si>
  <si>
    <t xml:space="preserve">Audit Reference
(Schedule / Page)</t>
  </si>
  <si>
    <t xml:space="preserve">Remarks</t>
  </si>
  <si>
    <t xml:space="preserve">Government Grants (Capital / Non-recurring)</t>
  </si>
  <si>
    <t xml:space="preserve">A1</t>
  </si>
  <si>
    <t xml:space="preserve">UGC / Ministry of Education / Central Government capital grants</t>
  </si>
  <si>
    <t xml:space="preserve">A2</t>
  </si>
  <si>
    <t xml:space="preserve">State Government capital grants</t>
  </si>
  <si>
    <t xml:space="preserve">A3</t>
  </si>
  <si>
    <t xml:space="preserve">RUSA / PM-USHA / other scheme grants for infrastructure</t>
  </si>
  <si>
    <t xml:space="preserve">A4</t>
  </si>
  <si>
    <t xml:space="preserve">DST-FIST / AICTE / other agency grants for equipment &amp; labs</t>
  </si>
  <si>
    <t xml:space="preserve">Sub-total A – Government Grants (Capital / Non-recurring)</t>
  </si>
  <si>
    <t xml:space="preserve">Management / Sponsoring-Body Contributions</t>
  </si>
  <si>
    <t xml:space="preserve">B1</t>
  </si>
  <si>
    <t xml:space="preserve">Trust / Society contribution for infrastructure</t>
  </si>
  <si>
    <t xml:space="preserve">B2</t>
  </si>
  <si>
    <t xml:space="preserve">Corpus / reserves transferred for capital purposes</t>
  </si>
  <si>
    <t xml:space="preserve">Sub-total B – Management / Sponsoring-Body Contributions</t>
  </si>
  <si>
    <t xml:space="preserve">Loans (Amount Disbursed in the FY)</t>
  </si>
  <si>
    <t xml:space="preserve">C1</t>
  </si>
  <si>
    <t xml:space="preserve">Term loans from banks / financial institutions</t>
  </si>
  <si>
    <t xml:space="preserve">C2</t>
  </si>
  <si>
    <t xml:space="preserve">HEFA / other institutional loans</t>
  </si>
  <si>
    <t xml:space="preserve">Sub-total C – Loans (Amount Disbursed in the FY)</t>
  </si>
  <si>
    <t xml:space="preserve">Endowments, Donations &amp; CSR (Capital)</t>
  </si>
  <si>
    <t xml:space="preserve">D1</t>
  </si>
  <si>
    <t xml:space="preserve">Endowments received for capital purposes</t>
  </si>
  <si>
    <t xml:space="preserve">D2</t>
  </si>
  <si>
    <t xml:space="preserve">Capital donations / alumni contributions</t>
  </si>
  <si>
    <t xml:space="preserve">D3</t>
  </si>
  <si>
    <t xml:space="preserve">CSR funds received for infrastructure</t>
  </si>
  <si>
    <t xml:space="preserve">Sub-total D – Endowments, Donations &amp; CSR (Capital)</t>
  </si>
  <si>
    <t xml:space="preserve">Any Other Capital Receipts (specify in Remarks)</t>
  </si>
  <si>
    <t xml:space="preserve">E1</t>
  </si>
  <si>
    <t xml:space="preserve">Other capital receipt – 1</t>
  </si>
  <si>
    <t xml:space="preserve">E2</t>
  </si>
  <si>
    <t xml:space="preserve">Other capital receipt – 2</t>
  </si>
  <si>
    <t xml:space="preserve">Sub-total E – Any Other Capital Receipts (specify in Remarks)</t>
  </si>
  <si>
    <t xml:space="preserve">TOTAL</t>
  </si>
  <si>
    <t xml:space="preserve">Total amount received towards Capital – Government grants, management contributions, loans, endowments etc.</t>
  </si>
  <si>
    <t xml:space="preserve">Filling rules: (1) Enter amounts in INR Lakhs with two decimals in the cream cells only. (2) Leave a cell blank or enter 0 where not applicable – it will display as '-'. (3) For every non-zero figure, write the schedule/page of the audited accounts in 'Audit Reference'. (4) Grey/navy cells are formulas – do not overwrite. (5) Refer to Sheet 2 (G3/G4) for include/exclude rules.</t>
  </si>
  <si>
    <t xml:space="preserve">SHEET 4 – CAPITAL EXPENDITURE (INR LAKHS)</t>
  </si>
  <si>
    <t xml:space="preserve">Record the amount SPENT on infrastructure in each financial year – instructional buildings, academic infrastructure including library, hostels, laboratories, equipment, residences, amenities and payment of rentals. Source: Fixed Asset Schedule ('Additions during the year' and Capital Work-in-Progress) and lease/rent ledger. Do NOT include repairs, maintenance or consumables.</t>
  </si>
  <si>
    <t xml:space="preserve">Instructional Buildings</t>
  </si>
  <si>
    <t xml:space="preserve">1.1</t>
  </si>
  <si>
    <t xml:space="preserve">New academic buildings / blocks (incl. CWIP additions)</t>
  </si>
  <si>
    <t xml:space="preserve">1.2</t>
  </si>
  <si>
    <t xml:space="preserve">Extensions / additional classrooms</t>
  </si>
  <si>
    <t xml:space="preserve">Sub-total 1 – Instructional Buildings</t>
  </si>
  <si>
    <t xml:space="preserve">Academic Infrastructure including Library</t>
  </si>
  <si>
    <t xml:space="preserve">2.1</t>
  </si>
  <si>
    <t xml:space="preserve">Library building, furniture &amp; fixtures</t>
  </si>
  <si>
    <t xml:space="preserve">2.2</t>
  </si>
  <si>
    <t xml:space="preserve">Books, journals &amp; e-resources (capitalised)</t>
  </si>
  <si>
    <t xml:space="preserve">2.3</t>
  </si>
  <si>
    <t xml:space="preserve">Smart classrooms / ICT-enabled classrooms</t>
  </si>
  <si>
    <t xml:space="preserve">2.4</t>
  </si>
  <si>
    <t xml:space="preserve">Academic furniture &amp; fixtures</t>
  </si>
  <si>
    <t xml:space="preserve">Sub-total 2 – Academic Infrastructure including Library</t>
  </si>
  <si>
    <t xml:space="preserve">3.1</t>
  </si>
  <si>
    <t xml:space="preserve">Hostel construction / extension (incl. CWIP)</t>
  </si>
  <si>
    <t xml:space="preserve">3.2</t>
  </si>
  <si>
    <t xml:space="preserve">Hostel furniture &amp; fittings</t>
  </si>
  <si>
    <t xml:space="preserve">Sub-total 3 – Hostels</t>
  </si>
  <si>
    <t xml:space="preserve">Laboratories &amp; Equipment</t>
  </si>
  <si>
    <t xml:space="preserve">4.1</t>
  </si>
  <si>
    <t xml:space="preserve">Laboratory equipment &amp; instruments</t>
  </si>
  <si>
    <t xml:space="preserve">4.2</t>
  </si>
  <si>
    <t xml:space="preserve">Computers, servers, networking &amp; IT hardware</t>
  </si>
  <si>
    <t xml:space="preserve">4.3</t>
  </si>
  <si>
    <t xml:space="preserve">Software (capitalised)</t>
  </si>
  <si>
    <t xml:space="preserve">4.4</t>
  </si>
  <si>
    <t xml:space="preserve">Research / central instrumentation equipment</t>
  </si>
  <si>
    <t xml:space="preserve">Sub-total 4 – Laboratories &amp; Equipment</t>
  </si>
  <si>
    <t xml:space="preserve">5.1</t>
  </si>
  <si>
    <t xml:space="preserve">Staff quarters / residences</t>
  </si>
  <si>
    <t xml:space="preserve">Sub-total 5 – Residences</t>
  </si>
  <si>
    <t xml:space="preserve">6.1</t>
  </si>
  <si>
    <t xml:space="preserve">Sports facilities, gymnasium &amp; grounds</t>
  </si>
  <si>
    <t xml:space="preserve">6.2</t>
  </si>
  <si>
    <t xml:space="preserve">Auditorium, seminar halls, canteen</t>
  </si>
  <si>
    <t xml:space="preserve">6.3</t>
  </si>
  <si>
    <t xml:space="preserve">Solar plant, STP, rainwater harvesting &amp; green infrastructure</t>
  </si>
  <si>
    <t xml:space="preserve">6.4</t>
  </si>
  <si>
    <t xml:space="preserve">Vehicles, CCTV, lifts, ramps &amp; other amenities</t>
  </si>
  <si>
    <t xml:space="preserve">Sub-total 6 – Amenities</t>
  </si>
  <si>
    <t xml:space="preserve">Payment of Rentals</t>
  </si>
  <si>
    <t xml:space="preserve">7.1</t>
  </si>
  <si>
    <t xml:space="preserve">Rent for leased academic / hostel premises</t>
  </si>
  <si>
    <t xml:space="preserve">Sub-total 7 – Payment of Rentals</t>
  </si>
  <si>
    <t xml:space="preserve">Any Other Capital Expenditure (specify in Remarks)</t>
  </si>
  <si>
    <t xml:space="preserve">8.1</t>
  </si>
  <si>
    <t xml:space="preserve">Other capital expenditure – 1</t>
  </si>
  <si>
    <t xml:space="preserve">Sub-total 8 – Any Other Capital Expenditure (specify in Remarks)</t>
  </si>
  <si>
    <t xml:space="preserve">Total amount spent towards infrastructure like instructional building, academic infrastructure incl. library, hostels, laboratory, equipment, residences, amenities, payment of rentals</t>
  </si>
  <si>
    <t xml:space="preserve">SHEET 5 – SUMMARY, NAAC DATA TEMPLATE &amp; RATIO ANALYSIS</t>
  </si>
  <si>
    <t xml:space="preserve">This sheet is fully formula-driven. Values flow from Sheets 3 and 4 – do not type here. Section A gives the figures to be entered on the NAAC portal (assessment period FY 2023-24 to 2025-26). FY 2022-23 is shown for trend/reference only.</t>
  </si>
  <si>
    <t xml:space="preserve">A.  NAAC DATA TEMPLATE (INR LAKHS)</t>
  </si>
  <si>
    <t xml:space="preserve">Item</t>
  </si>
  <si>
    <t xml:space="preserve">FY 2025-26
(Year-3)</t>
  </si>
  <si>
    <t xml:space="preserve">FY 2024-25
(Year-2)</t>
  </si>
  <si>
    <t xml:space="preserve">FY 2023-24
(Year-1)</t>
  </si>
  <si>
    <t xml:space="preserve">FY 2022-23
(Baseline)</t>
  </si>
  <si>
    <t xml:space="preserve">NAAC 3-Yr Total</t>
  </si>
  <si>
    <t xml:space="preserve">4-Yr Total</t>
  </si>
  <si>
    <t xml:space="preserve">Total amount spent towards infrastructure like instructional building, academic infrastructure including library, hostels, laboratory, equipment, residences, amenities, payment of rentals</t>
  </si>
  <si>
    <t xml:space="preserve">B.  RATIO ANALYSIS</t>
  </si>
  <si>
    <t xml:space="preserve">NAAC 3-Yr Aggregate</t>
  </si>
  <si>
    <t xml:space="preserve">4-Yr Aggregate</t>
  </si>
  <si>
    <t xml:space="preserve">Capital Utilisation Ratio  (CapEx ÷ CapInc)  – KEY INDICATOR</t>
  </si>
  <si>
    <t xml:space="preserve">Capital Coverage Ratio  (CapInc ÷ CapEx)</t>
  </si>
  <si>
    <t xml:space="preserve">Capital Surplus / (Deficit)  (CapInc – CapEx), INR Lakhs</t>
  </si>
  <si>
    <t xml:space="preserve">Year-on-Year Growth – Capital Income</t>
  </si>
  <si>
    <t xml:space="preserve">n.a.</t>
  </si>
  <si>
    <t xml:space="preserve">Year-on-Year Growth – Capital Expenditure</t>
  </si>
  <si>
    <t xml:space="preserve">Interpretation (indicative band – see Sheet 2, G6)</t>
  </si>
  <si>
    <t xml:space="preserve">C.  COMPOSITION – SHARE OF EACH HEAD (NAAC 3-YEAR PERIOD)</t>
  </si>
  <si>
    <t xml:space="preserve">Capital Income Head</t>
  </si>
  <si>
    <t xml:space="preserve">NAAC 3-Yr (INR Lakhs)</t>
  </si>
  <si>
    <t xml:space="preserve">Share %</t>
  </si>
  <si>
    <t xml:space="preserve">Capital Expenditure Head</t>
  </si>
  <si>
    <t xml:space="preserve">D.  CHART – CAPITAL INCOME vs CAPITAL EXPENDITURE</t>
  </si>
  <si>
    <t xml:space="preserve">Reading the results: A Capital Utilisation Ratio close to 1.00x (0.80x–1.20x) is the strongest position – it shows that capital funds raised were deployed into infrastructure. Where the ratio is far from 1, prepare a short explanatory note (e.g., unspent grant awaiting tender, or capex funded from accumulated revenue surplus) to accompany the submission.</t>
  </si>
  <si>
    <t xml:space="preserve">SHEET 6 – WORKED EXAMPLE (HYPOTHETICAL FIGURES – FOR UNDERSTANDING ONLY)</t>
  </si>
  <si>
    <t xml:space="preserve">The figures below are purely illustrative and do NOT represent any institution's accounts. They show how category totals translate into the NAAC template, the ratio and its interpretation.</t>
  </si>
  <si>
    <t xml:space="preserve">Step 1 – Capital Income by category (INR Lakhs)</t>
  </si>
  <si>
    <t xml:space="preserve">NAAC 3-Yr</t>
  </si>
  <si>
    <t xml:space="preserve">4-Yr</t>
  </si>
  <si>
    <t xml:space="preserve">Government grants (capital)</t>
  </si>
  <si>
    <t xml:space="preserve">Loans disbursed</t>
  </si>
  <si>
    <t xml:space="preserve">Endowments, donations &amp; CSR</t>
  </si>
  <si>
    <t xml:space="preserve">Other capital receipts</t>
  </si>
  <si>
    <t xml:space="preserve">Step 2 – Capital Expenditure by category (INR Lakhs)</t>
  </si>
  <si>
    <t xml:space="preserve">Other capital expenditure</t>
  </si>
  <si>
    <t xml:space="preserve">Step 3 – Ratio and interpretation</t>
  </si>
  <si>
    <t xml:space="preserve">a</t>
  </si>
  <si>
    <t xml:space="preserve">Capital Utilisation Ratio (CapEx ÷ CapInc)</t>
  </si>
  <si>
    <t xml:space="preserve">b</t>
  </si>
  <si>
    <t xml:space="preserve">Capital Surplus / (Deficit), INR Lakhs</t>
  </si>
  <si>
    <t xml:space="preserve">c</t>
  </si>
  <si>
    <t xml:space="preserve">Interpretation band</t>
  </si>
  <si>
    <t xml:space="preserve">How to read this example</t>
  </si>
  <si>
    <t xml:space="preserve">1.  In FY 2025-26 the institution received 1,610 Lakhs of capital and spent 1,560 Lakhs – a ratio of about 0.97x (Band III). Almost every rupee raised was converted into assets.
2.  In FY 2024-25 spending (1,530) was higher than receipts (1,420) – ratio about 1.08x, still balanced. The small deficit was met from revenue surplus; mention this in the explanatory note.
3.  Over the NAAC three-year period (FY 2023-24 to 2025-26), the aggregate ratio is about 1.00x, which demonstrates disciplined capital planning.
4.  Management contributions (Head B) are the dominant capital source – typical for a private university. Government grants are small but should still be shown with sanction letters.
5.  For the actual submission, enter real figures in Sheets 3 and 4; Sheet 5 will produce these same indicators automatically.</t>
  </si>
  <si>
    <t xml:space="preserve">SHEET 7 – SUPPORTING DOCUMENT CHECKLIST</t>
  </si>
  <si>
    <t xml:space="preserve">Select the status for each document and financial year from the drop-down (Available / Pending / Not Applicable). Items 1 and 2 are mandatory as per NAAC; the rest are recommended evidence for Data Validation &amp; Verification (DVV).</t>
  </si>
  <si>
    <t xml:space="preserve">Document</t>
  </si>
  <si>
    <t xml:space="preserve">Purpose / What to highlight</t>
  </si>
  <si>
    <t xml:space="preserve">Responsibility</t>
  </si>
  <si>
    <t xml:space="preserve">File name / Link / Remarks</t>
  </si>
  <si>
    <t xml:space="preserve">Audited Income &amp; Expenditure statement – signed by CA &amp; countersigned by competent authority (MANDATORY)</t>
  </si>
  <si>
    <t xml:space="preserve">Highlight capital components; signatures &amp; seal on every year</t>
  </si>
  <si>
    <t xml:space="preserve">Pending</t>
  </si>
  <si>
    <t xml:space="preserve">Finance Officer</t>
  </si>
  <si>
    <t xml:space="preserve">CA-certified audit extract of capital income and capital expenditure (MANDATORY – Sheet 8 format)</t>
  </si>
  <si>
    <t xml:space="preserve">Must match Sheet 5 Section A exactly</t>
  </si>
  <si>
    <t xml:space="preserve">Audited Balance Sheet with schedules</t>
  </si>
  <si>
    <t xml:space="preserve">Capital fund, corpus, earmarked funds, secured loans</t>
  </si>
  <si>
    <t xml:space="preserve">Fixed Asset Schedule (Additions &amp; CWIP)</t>
  </si>
  <si>
    <t xml:space="preserve">Additions head-wise; CWIP movement</t>
  </si>
  <si>
    <t xml:space="preserve">Receipts &amp; Payments Account</t>
  </si>
  <si>
    <t xml:space="preserve">Capital receipts and payments during the FY</t>
  </si>
  <si>
    <t xml:space="preserve">Grant sanction letters &amp; Utilisation Certificates</t>
  </si>
  <si>
    <t xml:space="preserve">Capital/non-recurring grants received</t>
  </si>
  <si>
    <t xml:space="preserve">Finance / Research Office</t>
  </si>
  <si>
    <t xml:space="preserve">Loan sanction &amp; disbursement advice</t>
  </si>
  <si>
    <t xml:space="preserve">Amount disbursed in each FY</t>
  </si>
  <si>
    <t xml:space="preserve">Trust / Society resolutions &amp; bank credit proof for capital contribution</t>
  </si>
  <si>
    <t xml:space="preserve">Amount and purpose of contribution</t>
  </si>
  <si>
    <t xml:space="preserve">Registrar / Finance</t>
  </si>
  <si>
    <t xml:space="preserve">Endowment / donation deeds &amp; CSR agreements</t>
  </si>
  <si>
    <t xml:space="preserve">Capital purpose of the receipt</t>
  </si>
  <si>
    <t xml:space="preserve">Lease agreements &amp; rent receipts</t>
  </si>
  <si>
    <t xml:space="preserve">Rentals for academic/hostel premises</t>
  </si>
  <si>
    <t xml:space="preserve">Estate Office</t>
  </si>
  <si>
    <t xml:space="preserve">Purchase orders / work completion certificates for major assets</t>
  </si>
  <si>
    <t xml:space="preserve">Supports major capex items</t>
  </si>
  <si>
    <t xml:space="preserve">Purchase / Estate Office</t>
  </si>
  <si>
    <t xml:space="preserve">Explanatory note for years where ratio is outside 0.80x–1.20x</t>
  </si>
  <si>
    <t xml:space="preserve">Reason and utilisation plan</t>
  </si>
  <si>
    <t xml:space="preserve">Documents Available (count)</t>
  </si>
  <si>
    <t xml:space="preserve">CERTIFICATE BY CHARTERED ACCOUNTANT</t>
  </si>
  <si>
    <t xml:space="preserve">(To be printed on the letterhead of the Chartered Accountant firm)</t>
  </si>
  <si>
    <t xml:space="preserve">Ref. No.: ____________________                                                                 Date: ____________________</t>
  </si>
  <si>
    <t xml:space="preserve">Sub.: Certificate of Capital Income and Capital Expenditure of [University Name] for NAAC Metric 4.1 (Binary Accreditation Framework) – Financial Years 2022-23 to 2025-26</t>
  </si>
  <si>
    <t xml:space="preserve">This is to certify that we have verified the audited financial statements (Balance Sheet, Income &amp; Expenditure Account, Receipts &amp; Payments Account and related schedules) of [University Name] for the financial years mentioned below. Based on our verification, the total amount received towards capital (Government grants, management contributions, loans disbursed, endowments etc.) and the total amount spent towards infrastructure (instructional buildings, academic infrastructure including library, hostels, laboratories, equipment, residences, amenities and payment of rentals) are as under:</t>
  </si>
  <si>
    <t xml:space="preserve">S. No.</t>
  </si>
  <si>
    <t xml:space="preserve">Financial Year</t>
  </si>
  <si>
    <t xml:space="preserve">Capital Income
(INR Lakhs)</t>
  </si>
  <si>
    <t xml:space="preserve">Capital Expenditure
(INR Lakhs)</t>
  </si>
  <si>
    <t xml:space="preserve">Total – NAAC period (FY 2023-24 to 2025-26)</t>
  </si>
  <si>
    <t xml:space="preserve">We further certify that (i) only amounts actually received/disbursed during the respective financial years have been considered as capital income; (ii) capital expenditure comprises additions to fixed assets (including capital work-in-progress) and rentals paid for academic premises, and excludes repairs, maintenance and other revenue items; and (iii) the relevant components have been highlighted in the audited statements enclosed herewith.</t>
  </si>
  <si>
    <t xml:space="preserve">For ____________________ (CA Firm Name)</t>
  </si>
  <si>
    <t xml:space="preserve">Countersigned by</t>
  </si>
  <si>
    <t xml:space="preserve">Chartered Accountants, FRN: __________</t>
  </si>
  <si>
    <t xml:space="preserve">Registrar / Finance Officer</t>
  </si>
  <si>
    <t xml:space="preserve">[University Name]</t>
  </si>
  <si>
    <t xml:space="preserve">(Signature &amp; Seal)</t>
  </si>
  <si>
    <t xml:space="preserve">Name of Partner: ____________________</t>
  </si>
  <si>
    <t xml:space="preserve">Membership No.: __________   UDIN: __________</t>
  </si>
  <si>
    <t xml:space="preserve">Place: [City]                         Enclosures: Highlighted audited statements for FY 2022-23, 2023-24, 2024-25 and 2025-26</t>
  </si>
</sst>
</file>

<file path=xl/styles.xml><?xml version="1.0" encoding="utf-8"?>
<styleSheet xmlns="http://schemas.openxmlformats.org/spreadsheetml/2006/main">
  <numFmts count="4">
    <numFmt numFmtId="164" formatCode="General"/>
    <numFmt numFmtId="165" formatCode="#,##0.00;\(#,##0.00\);\-"/>
    <numFmt numFmtId="166" formatCode="0.00\x;\(0.00&quot;x)&quot;;\-"/>
    <numFmt numFmtId="167" formatCode="0.0%;\(0.0%\);\-"/>
  </numFmts>
  <fonts count="33">
    <font>
      <sz val="11"/>
      <color theme="1"/>
      <name val="Calibri"/>
      <family val="2"/>
      <charset val="1"/>
    </font>
    <font>
      <sz val="10"/>
      <name val="Arial"/>
      <family val="0"/>
    </font>
    <font>
      <sz val="10"/>
      <name val="Arial"/>
      <family val="0"/>
    </font>
    <font>
      <sz val="10"/>
      <name val="Arial"/>
      <family val="0"/>
    </font>
    <font>
      <b val="true"/>
      <sz val="24"/>
      <color rgb="FFC9A227"/>
      <name val="Calibri"/>
      <family val="0"/>
      <charset val="1"/>
    </font>
    <font>
      <b val="true"/>
      <sz val="18"/>
      <color rgb="FF1F3864"/>
      <name val="Calibri"/>
      <family val="0"/>
      <charset val="1"/>
    </font>
    <font>
      <b val="true"/>
      <sz val="16"/>
      <color rgb="FF1F3864"/>
      <name val="Calibri"/>
      <family val="0"/>
      <charset val="1"/>
    </font>
    <font>
      <b val="true"/>
      <sz val="20"/>
      <color rgb="FF1F3864"/>
      <name val="Calibri"/>
      <family val="0"/>
      <charset val="1"/>
    </font>
    <font>
      <i val="true"/>
      <sz val="14"/>
      <color rgb="FF404040"/>
      <name val="Calibri"/>
      <family val="0"/>
      <charset val="1"/>
    </font>
    <font>
      <b val="true"/>
      <sz val="16"/>
      <color rgb="FFFFFFFF"/>
      <name val="Calibri"/>
      <family val="0"/>
      <charset val="1"/>
    </font>
    <font>
      <sz val="14"/>
      <color rgb="FF000000"/>
      <name val="Calibri"/>
      <family val="0"/>
      <charset val="1"/>
    </font>
    <font>
      <b val="true"/>
      <sz val="14"/>
      <color rgb="FFFFFFFF"/>
      <name val="Calibri"/>
      <family val="0"/>
      <charset val="1"/>
    </font>
    <font>
      <b val="true"/>
      <sz val="14"/>
      <color rgb="FF0000FF"/>
      <name val="Calibri"/>
      <family val="0"/>
      <charset val="1"/>
    </font>
    <font>
      <b val="true"/>
      <sz val="14"/>
      <color rgb="FF000000"/>
      <name val="Calibri"/>
      <family val="0"/>
      <charset val="1"/>
    </font>
    <font>
      <b val="true"/>
      <sz val="14"/>
      <color rgb="FF008000"/>
      <name val="Calibri"/>
      <family val="0"/>
      <charset val="1"/>
    </font>
    <font>
      <b val="true"/>
      <sz val="14"/>
      <color rgb="FFC9A227"/>
      <name val="Calibri"/>
      <family val="0"/>
      <charset val="1"/>
    </font>
    <font>
      <i val="true"/>
      <sz val="12"/>
      <color rgb="FF595959"/>
      <name val="Calibri"/>
      <family val="0"/>
      <charset val="1"/>
    </font>
    <font>
      <i val="true"/>
      <sz val="12"/>
      <color rgb="FFC00000"/>
      <name val="Calibri"/>
      <family val="0"/>
      <charset val="1"/>
    </font>
    <font>
      <b val="true"/>
      <sz val="20"/>
      <color rgb="FFC9A227"/>
      <name val="Calibri"/>
      <family val="0"/>
      <charset val="1"/>
    </font>
    <font>
      <b val="true"/>
      <sz val="14"/>
      <color rgb="FF1F3864"/>
      <name val="Calibri"/>
      <family val="0"/>
      <charset val="1"/>
    </font>
    <font>
      <sz val="14"/>
      <color rgb="FF0000FF"/>
      <name val="Calibri"/>
      <family val="0"/>
      <charset val="1"/>
    </font>
    <font>
      <b val="true"/>
      <sz val="15"/>
      <color rgb="FFC9A227"/>
      <name val="Calibri"/>
      <family val="0"/>
      <charset val="1"/>
    </font>
    <font>
      <b val="true"/>
      <sz val="15"/>
      <color rgb="FFFFFFFF"/>
      <name val="Calibri"/>
      <family val="0"/>
      <charset val="1"/>
    </font>
    <font>
      <i val="true"/>
      <sz val="13"/>
      <color rgb="FF404040"/>
      <name val="Calibri"/>
      <family val="0"/>
      <charset val="1"/>
    </font>
    <font>
      <b val="true"/>
      <sz val="13"/>
      <color rgb="FF1F3864"/>
      <name val="Calibri"/>
      <family val="0"/>
      <charset val="1"/>
    </font>
    <font>
      <sz val="14"/>
      <color rgb="FF008000"/>
      <name val="Calibri"/>
      <family val="0"/>
      <charset val="1"/>
    </font>
    <font>
      <b val="true"/>
      <sz val="18"/>
      <color rgb="FF000000"/>
      <name val="Calibri"/>
      <family val="2"/>
    </font>
    <font>
      <sz val="10"/>
      <color rgb="FF000000"/>
      <name val="Calibri"/>
      <family val="2"/>
    </font>
    <font>
      <b val="true"/>
      <sz val="10"/>
      <color rgb="FF000000"/>
      <name val="Calibri"/>
      <family val="2"/>
    </font>
    <font>
      <b val="true"/>
      <sz val="18"/>
      <color rgb="FFC9A227"/>
      <name val="Calibri"/>
      <family val="0"/>
      <charset val="1"/>
    </font>
    <font>
      <b val="true"/>
      <sz val="14"/>
      <color rgb="FFC00000"/>
      <name val="Calibri"/>
      <family val="0"/>
      <charset val="1"/>
    </font>
    <font>
      <i val="true"/>
      <sz val="13"/>
      <color rgb="FF595959"/>
      <name val="Calibri"/>
      <family val="0"/>
      <charset val="1"/>
    </font>
    <font>
      <sz val="13"/>
      <color rgb="FF404040"/>
      <name val="Calibri"/>
      <family val="0"/>
      <charset val="1"/>
    </font>
  </fonts>
  <fills count="8">
    <fill>
      <patternFill patternType="none"/>
    </fill>
    <fill>
      <patternFill patternType="gray125"/>
    </fill>
    <fill>
      <patternFill patternType="solid">
        <fgColor rgb="FF1F3864"/>
        <bgColor rgb="FF333399"/>
      </patternFill>
    </fill>
    <fill>
      <patternFill patternType="solid">
        <fgColor rgb="FFFFF4D6"/>
        <bgColor rgb="FFFFFBE6"/>
      </patternFill>
    </fill>
    <fill>
      <patternFill patternType="solid">
        <fgColor rgb="FFF2F2F2"/>
        <bgColor rgb="FFFFFBE6"/>
      </patternFill>
    </fill>
    <fill>
      <patternFill patternType="solid">
        <fgColor rgb="FFFFFBE6"/>
        <bgColor rgb="FFFFF4D6"/>
      </patternFill>
    </fill>
    <fill>
      <patternFill patternType="solid">
        <fgColor rgb="FFDCE3F0"/>
        <bgColor rgb="FFD9D9D9"/>
      </patternFill>
    </fill>
    <fill>
      <patternFill patternType="solid">
        <fgColor rgb="FFFFFFFF"/>
        <bgColor rgb="FFFFFBE6"/>
      </patternFill>
    </fill>
  </fills>
  <borders count="4">
    <border diagonalUp="false" diagonalDown="false">
      <left/>
      <right/>
      <top/>
      <bottom/>
      <diagonal/>
    </border>
    <border diagonalUp="false" diagonalDown="false">
      <left/>
      <right/>
      <top/>
      <bottom style="thick">
        <color rgb="FFC9A227"/>
      </bottom>
      <diagonal/>
    </border>
    <border diagonalUp="false" diagonalDown="false">
      <left style="thin">
        <color rgb="FF8C8C8C"/>
      </left>
      <right style="thin">
        <color rgb="FF8C8C8C"/>
      </right>
      <top style="thin">
        <color rgb="FF8C8C8C"/>
      </top>
      <bottom style="thin">
        <color rgb="FF8C8C8C"/>
      </bottom>
      <diagonal/>
    </border>
    <border diagonalUp="false" diagonalDown="false">
      <left style="thin">
        <color rgb="FF8C8C8C"/>
      </left>
      <right/>
      <top style="thin">
        <color rgb="FF8C8C8C"/>
      </top>
      <bottom style="thin">
        <color rgb="FF8C8C8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5" fillId="3" borderId="0"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true" applyAlignment="true" applyProtection="false">
      <alignment horizontal="center" vertical="center" textRotation="0" wrapText="true" indent="0" shrinkToFit="false"/>
      <protection locked="true" hidden="false"/>
    </xf>
    <xf numFmtId="164" fontId="7" fillId="0" borderId="0"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true" applyProtection="false">
      <alignment horizontal="center" vertical="center" textRotation="0" wrapText="true" indent="0" shrinkToFit="false"/>
      <protection locked="true" hidden="false"/>
    </xf>
    <xf numFmtId="164" fontId="9" fillId="2" borderId="1"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general" vertical="top" textRotation="0" wrapText="true" indent="0" shrinkToFit="false"/>
      <protection locked="true" hidden="false"/>
    </xf>
    <xf numFmtId="164" fontId="11" fillId="2"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10" fillId="4" borderId="2" xfId="0" applyFont="true" applyBorder="true" applyAlignment="true" applyProtection="false">
      <alignment horizontal="general" vertical="top" textRotation="0" wrapText="true" indent="0" shrinkToFit="false"/>
      <protection locked="true" hidden="false"/>
    </xf>
    <xf numFmtId="164" fontId="12" fillId="5" borderId="2" xfId="0" applyFont="true" applyBorder="true" applyAlignment="true" applyProtection="false">
      <alignment horizontal="left" vertical="center" textRotation="0" wrapText="true" indent="0" shrinkToFit="false"/>
      <protection locked="true" hidden="false"/>
    </xf>
    <xf numFmtId="164" fontId="10" fillId="0" borderId="3" xfId="0" applyFont="true" applyBorder="true" applyAlignment="true" applyProtection="false">
      <alignment horizontal="left" vertical="center" textRotation="0" wrapText="true" indent="0" shrinkToFit="false"/>
      <protection locked="true" hidden="false"/>
    </xf>
    <xf numFmtId="164" fontId="13" fillId="6" borderId="2" xfId="0" applyFont="true" applyBorder="true" applyAlignment="true" applyProtection="false">
      <alignment horizontal="left" vertical="center" textRotation="0" wrapText="true" indent="0" shrinkToFit="false"/>
      <protection locked="true" hidden="false"/>
    </xf>
    <xf numFmtId="164" fontId="14" fillId="7" borderId="2" xfId="0" applyFont="true" applyBorder="true" applyAlignment="true" applyProtection="false">
      <alignment horizontal="left" vertical="center" textRotation="0" wrapText="true" indent="0" shrinkToFit="false"/>
      <protection locked="true" hidden="false"/>
    </xf>
    <xf numFmtId="164" fontId="15" fillId="2" borderId="2" xfId="0" applyFont="true" applyBorder="true" applyAlignment="true" applyProtection="false">
      <alignment horizontal="left" vertical="center" textRotation="0" wrapText="true" indent="0" shrinkToFit="false"/>
      <protection locked="true" hidden="false"/>
    </xf>
    <xf numFmtId="164" fontId="16" fillId="0" borderId="0" xfId="0" applyFont="true" applyBorder="true" applyAlignment="true" applyProtection="false">
      <alignment horizontal="center" vertical="center" textRotation="0" wrapText="true" indent="0" shrinkToFit="false"/>
      <protection locked="true" hidden="false"/>
    </xf>
    <xf numFmtId="164" fontId="17" fillId="0" borderId="0" xfId="0" applyFont="true" applyBorder="true" applyAlignment="true" applyProtection="false">
      <alignment horizontal="center" vertical="center" textRotation="0" wrapText="true" indent="0" shrinkToFit="false"/>
      <protection locked="true" hidden="false"/>
    </xf>
    <xf numFmtId="164" fontId="18" fillId="2" borderId="0" xfId="0" applyFont="true" applyBorder="true" applyAlignment="true" applyProtection="false">
      <alignment horizontal="center" vertical="center" textRotation="0" wrapText="true" indent="0" shrinkToFit="false"/>
      <protection locked="true" hidden="false"/>
    </xf>
    <xf numFmtId="164" fontId="10" fillId="3" borderId="0" xfId="0" applyFont="true" applyBorder="true" applyAlignment="true" applyProtection="false">
      <alignment horizontal="general" vertical="top" textRotation="0" wrapText="true" indent="0" shrinkToFit="false"/>
      <protection locked="true" hidden="false"/>
    </xf>
    <xf numFmtId="164" fontId="19" fillId="3" borderId="2" xfId="0" applyFont="true" applyBorder="true" applyAlignment="false" applyProtection="false">
      <alignment horizontal="general" vertical="bottom" textRotation="0" wrapText="false" indent="0" shrinkToFit="false"/>
      <protection locked="true" hidden="false"/>
    </xf>
    <xf numFmtId="164" fontId="0" fillId="3" borderId="2" xfId="0" applyFont="false" applyBorder="true" applyAlignment="false" applyProtection="false">
      <alignment horizontal="general" vertical="bottom" textRotation="0" wrapText="false" indent="0" shrinkToFit="false"/>
      <protection locked="true" hidden="false"/>
    </xf>
    <xf numFmtId="164" fontId="10" fillId="0" borderId="2" xfId="0" applyFont="true" applyBorder="true" applyAlignment="true" applyProtection="false">
      <alignment horizontal="center" vertical="center" textRotation="0" wrapText="true" indent="0" shrinkToFit="false"/>
      <protection locked="true" hidden="false"/>
    </xf>
    <xf numFmtId="165" fontId="20" fillId="5" borderId="2" xfId="0" applyFont="true" applyBorder="true" applyAlignment="false" applyProtection="false">
      <alignment horizontal="general" vertical="bottom" textRotation="0" wrapText="false" indent="0" shrinkToFit="false"/>
      <protection locked="true" hidden="false"/>
    </xf>
    <xf numFmtId="165" fontId="10" fillId="6" borderId="2" xfId="0" applyFont="true" applyBorder="true" applyAlignment="false" applyProtection="false">
      <alignment horizontal="general" vertical="bottom" textRotation="0" wrapText="false" indent="0" shrinkToFit="false"/>
      <protection locked="true" hidden="false"/>
    </xf>
    <xf numFmtId="164" fontId="20" fillId="5" borderId="2" xfId="0" applyFont="true" applyBorder="true" applyAlignment="true" applyProtection="false">
      <alignment horizontal="general" vertical="top" textRotation="0" wrapText="true" indent="0" shrinkToFit="false"/>
      <protection locked="true" hidden="false"/>
    </xf>
    <xf numFmtId="164" fontId="0" fillId="6" borderId="2" xfId="0" applyFont="false" applyBorder="true" applyAlignment="false" applyProtection="false">
      <alignment horizontal="general" vertical="bottom" textRotation="0" wrapText="false" indent="0" shrinkToFit="false"/>
      <protection locked="true" hidden="false"/>
    </xf>
    <xf numFmtId="164" fontId="13" fillId="6" borderId="2" xfId="0" applyFont="true" applyBorder="true" applyAlignment="true" applyProtection="false">
      <alignment horizontal="general" vertical="top" textRotation="0" wrapText="true" indent="0" shrinkToFit="false"/>
      <protection locked="true" hidden="false"/>
    </xf>
    <xf numFmtId="165" fontId="13" fillId="6" borderId="2" xfId="0" applyFont="true" applyBorder="true" applyAlignment="false" applyProtection="false">
      <alignment horizontal="general" vertical="bottom" textRotation="0" wrapText="false" indent="0" shrinkToFit="false"/>
      <protection locked="true" hidden="false"/>
    </xf>
    <xf numFmtId="164" fontId="21" fillId="2" borderId="2" xfId="0" applyFont="true" applyBorder="true" applyAlignment="false" applyProtection="false">
      <alignment horizontal="general" vertical="bottom" textRotation="0" wrapText="false" indent="0" shrinkToFit="false"/>
      <protection locked="true" hidden="false"/>
    </xf>
    <xf numFmtId="164" fontId="22" fillId="2" borderId="2" xfId="0" applyFont="true" applyBorder="true" applyAlignment="true" applyProtection="false">
      <alignment horizontal="general" vertical="top" textRotation="0" wrapText="true" indent="0" shrinkToFit="false"/>
      <protection locked="true" hidden="false"/>
    </xf>
    <xf numFmtId="165" fontId="22" fillId="2" borderId="2" xfId="0" applyFont="true" applyBorder="true" applyAlignment="false" applyProtection="false">
      <alignment horizontal="general" vertical="bottom" textRotation="0" wrapText="false" indent="0" shrinkToFit="false"/>
      <protection locked="true" hidden="false"/>
    </xf>
    <xf numFmtId="164" fontId="0" fillId="2" borderId="2" xfId="0" applyFont="false" applyBorder="true" applyAlignment="false" applyProtection="false">
      <alignment horizontal="general" vertical="bottom" textRotation="0" wrapText="false" indent="0" shrinkToFit="false"/>
      <protection locked="true" hidden="false"/>
    </xf>
    <xf numFmtId="164" fontId="23" fillId="0" borderId="0" xfId="0" applyFont="true" applyBorder="true" applyAlignment="true" applyProtection="false">
      <alignment horizontal="general" vertical="top"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general" vertical="top" textRotation="0" wrapText="true" indent="0" shrinkToFit="false"/>
      <protection locked="true" hidden="false"/>
    </xf>
    <xf numFmtId="165" fontId="14" fillId="0" borderId="2" xfId="0" applyFont="true" applyBorder="true" applyAlignment="false" applyProtection="false">
      <alignment horizontal="general" vertical="bottom" textRotation="0" wrapText="false" indent="0" shrinkToFit="false"/>
      <protection locked="true" hidden="false"/>
    </xf>
    <xf numFmtId="166" fontId="13" fillId="6" borderId="2" xfId="0" applyFont="true" applyBorder="true" applyAlignment="true" applyProtection="false">
      <alignment horizontal="right" vertical="center" textRotation="0" wrapText="true" indent="0" shrinkToFit="false"/>
      <protection locked="true" hidden="false"/>
    </xf>
    <xf numFmtId="166" fontId="10" fillId="6" borderId="2" xfId="0" applyFont="true" applyBorder="true" applyAlignment="true" applyProtection="false">
      <alignment horizontal="right" vertical="center" textRotation="0" wrapText="true" indent="0" shrinkToFit="false"/>
      <protection locked="true" hidden="false"/>
    </xf>
    <xf numFmtId="165" fontId="10" fillId="6" borderId="2" xfId="0" applyFont="true" applyBorder="true" applyAlignment="true" applyProtection="false">
      <alignment horizontal="right" vertical="center" textRotation="0" wrapText="true" indent="0" shrinkToFit="false"/>
      <protection locked="true" hidden="false"/>
    </xf>
    <xf numFmtId="167" fontId="10" fillId="6" borderId="2" xfId="0" applyFont="true" applyBorder="true" applyAlignment="true" applyProtection="false">
      <alignment horizontal="right" vertical="center" textRotation="0" wrapText="true" indent="0" shrinkToFit="false"/>
      <protection locked="true" hidden="false"/>
    </xf>
    <xf numFmtId="164" fontId="24" fillId="3" borderId="2" xfId="0" applyFont="true" applyBorder="true" applyAlignment="true" applyProtection="false">
      <alignment horizontal="center" vertical="center" textRotation="0" wrapText="true" indent="0" shrinkToFit="false"/>
      <protection locked="true" hidden="false"/>
    </xf>
    <xf numFmtId="164" fontId="10" fillId="0" borderId="2" xfId="0" applyFont="true" applyBorder="true" applyAlignment="false" applyProtection="false">
      <alignment horizontal="general" vertical="bottom" textRotation="0" wrapText="false" indent="0" shrinkToFit="false"/>
      <protection locked="true" hidden="false"/>
    </xf>
    <xf numFmtId="165" fontId="25" fillId="0" borderId="2" xfId="0" applyFont="true" applyBorder="true" applyAlignment="false" applyProtection="false">
      <alignment horizontal="general" vertical="bottom" textRotation="0" wrapText="false" indent="0" shrinkToFit="false"/>
      <protection locked="true" hidden="false"/>
    </xf>
    <xf numFmtId="167" fontId="10" fillId="6" borderId="2" xfId="0" applyFont="true" applyBorder="true" applyAlignment="false" applyProtection="false">
      <alignment horizontal="general" vertical="bottom" textRotation="0" wrapText="false" indent="0" shrinkToFit="false"/>
      <protection locked="true" hidden="false"/>
    </xf>
    <xf numFmtId="164" fontId="29" fillId="2" borderId="0" xfId="0" applyFont="true" applyBorder="true" applyAlignment="true" applyProtection="false">
      <alignment horizontal="center" vertical="center" textRotation="0" wrapText="true" indent="0" shrinkToFit="false"/>
      <protection locked="true" hidden="false"/>
    </xf>
    <xf numFmtId="164" fontId="30" fillId="3" borderId="0" xfId="0" applyFont="true" applyBorder="true" applyAlignment="true" applyProtection="false">
      <alignment horizontal="general" vertical="top" textRotation="0" wrapText="true" indent="0" shrinkToFit="false"/>
      <protection locked="true" hidden="false"/>
    </xf>
    <xf numFmtId="165" fontId="20" fillId="0" borderId="2" xfId="0" applyFont="true" applyBorder="true" applyAlignment="false" applyProtection="false">
      <alignment horizontal="general" vertical="bottom" textRotation="0" wrapText="false" indent="0" shrinkToFit="false"/>
      <protection locked="true" hidden="false"/>
    </xf>
    <xf numFmtId="164" fontId="11" fillId="2" borderId="2" xfId="0" applyFont="true" applyBorder="true" applyAlignment="false" applyProtection="false">
      <alignment horizontal="general" vertical="bottom" textRotation="0" wrapText="false" indent="0" shrinkToFit="false"/>
      <protection locked="true" hidden="false"/>
    </xf>
    <xf numFmtId="165" fontId="11" fillId="2" borderId="2" xfId="0" applyFont="true" applyBorder="true" applyAlignment="false" applyProtection="false">
      <alignment horizontal="general" vertical="bottom" textRotation="0" wrapText="false" indent="0" shrinkToFit="false"/>
      <protection locked="true" hidden="false"/>
    </xf>
    <xf numFmtId="164" fontId="20" fillId="5" borderId="2" xfId="0" applyFont="true" applyBorder="true" applyAlignment="true" applyProtection="false">
      <alignment horizontal="center" vertical="center" textRotation="0" wrapText="true" indent="0" shrinkToFit="false"/>
      <protection locked="true" hidden="false"/>
    </xf>
    <xf numFmtId="164" fontId="31" fillId="0" borderId="0"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true" applyProtection="false">
      <alignment horizontal="general" vertical="top" textRotation="0" wrapText="true" indent="0" shrinkToFit="false"/>
      <protection locked="true" hidden="false"/>
    </xf>
    <xf numFmtId="165" fontId="25" fillId="0" borderId="2" xfId="0" applyFont="true" applyBorder="true" applyAlignment="true" applyProtection="false">
      <alignment horizontal="center" vertical="center" textRotation="0" wrapText="true" indent="0" shrinkToFit="false"/>
      <protection locked="true" hidden="false"/>
    </xf>
    <xf numFmtId="166" fontId="10" fillId="0" borderId="2" xfId="0" applyFont="true" applyBorder="true" applyAlignment="true" applyProtection="false">
      <alignment horizontal="center" vertical="center" textRotation="0" wrapText="true" indent="0" shrinkToFit="false"/>
      <protection locked="true" hidden="false"/>
    </xf>
    <xf numFmtId="164" fontId="13" fillId="6" borderId="2" xfId="0" applyFont="true" applyBorder="true" applyAlignment="true" applyProtection="false">
      <alignment horizontal="center" vertical="center" textRotation="0" wrapText="true" indent="0" shrinkToFit="false"/>
      <protection locked="true" hidden="false"/>
    </xf>
    <xf numFmtId="165" fontId="13" fillId="6" borderId="2" xfId="0" applyFont="true" applyBorder="true" applyAlignment="true" applyProtection="false">
      <alignment horizontal="center" vertical="center" textRotation="0" wrapText="true" indent="0" shrinkToFit="false"/>
      <protection locked="true" hidden="false"/>
    </xf>
    <xf numFmtId="166" fontId="13" fillId="6" borderId="2"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true" applyProtection="false">
      <alignment horizontal="right" vertical="bottom" textRotation="0" wrapText="false" indent="0" shrinkToFit="false"/>
      <protection locked="true" hidden="false"/>
    </xf>
    <xf numFmtId="164" fontId="32"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ont>
        <name val="Calibri"/>
        <charset val="1"/>
        <family val="0"/>
        <b val="1"/>
        <color rgb="FF006100"/>
        <sz val="14"/>
      </font>
      <fill>
        <patternFill>
          <bgColor rgb="FFC6EFCE"/>
        </patternFill>
      </fill>
    </dxf>
    <dxf>
      <font>
        <name val="Calibri"/>
        <charset val="1"/>
        <family val="0"/>
        <b val="1"/>
        <color rgb="FF9C0006"/>
        <sz val="14"/>
      </font>
      <fill>
        <patternFill>
          <bgColor rgb="FFFFC7CE"/>
        </patternFill>
      </fill>
    </dxf>
  </dxfs>
  <colors>
    <indexedColors>
      <rgbColor rgb="FF000000"/>
      <rgbColor rgb="FFFFFFFF"/>
      <rgbColor rgb="FFC00000"/>
      <rgbColor rgb="FF00FF00"/>
      <rgbColor rgb="FF0000FF"/>
      <rgbColor rgb="FFFFFF00"/>
      <rgbColor rgb="FFFF00FF"/>
      <rgbColor rgb="FF00FFFF"/>
      <rgbColor rgb="FF9C0006"/>
      <rgbColor rgb="FF008000"/>
      <rgbColor rgb="FF000080"/>
      <rgbColor rgb="FF808000"/>
      <rgbColor rgb="FF800080"/>
      <rgbColor rgb="FF008080"/>
      <rgbColor rgb="FFC0C0C0"/>
      <rgbColor rgb="FF878787"/>
      <rgbColor rgb="FF9999FF"/>
      <rgbColor rgb="FF993366"/>
      <rgbColor rgb="FFFFF4D6"/>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DCE3F0"/>
      <rgbColor rgb="FFC6EFCE"/>
      <rgbColor rgb="FFFFFBE6"/>
      <rgbColor rgb="FF99CCFF"/>
      <rgbColor rgb="FFFF99CC"/>
      <rgbColor rgb="FFCC99FF"/>
      <rgbColor rgb="FFFFC7CE"/>
      <rgbColor rgb="FF3366FF"/>
      <rgbColor rgb="FF33CCCC"/>
      <rgbColor rgb="FF99CC00"/>
      <rgbColor rgb="FFFFCC00"/>
      <rgbColor rgb="FFC9A227"/>
      <rgbColor rgb="FFFF6600"/>
      <rgbColor rgb="FF595959"/>
      <rgbColor rgb="FF8C8C8C"/>
      <rgbColor rgb="FF1F3864"/>
      <rgbColor rgb="FF339966"/>
      <rgbColor rgb="FF0061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Capital Income vs Capital Expenditure (INR Lakhs)</a:t>
            </a:r>
          </a:p>
        </c:rich>
      </c:tx>
      <c:overlay val="0"/>
      <c:spPr>
        <a:noFill/>
        <a:ln w="0">
          <a:noFill/>
        </a:ln>
      </c:spPr>
    </c:title>
    <c:autoTitleDeleted val="0"/>
    <c:plotArea>
      <c:barChart>
        <c:barDir val="col"/>
        <c:grouping val="clustered"/>
        <c:varyColors val="0"/>
        <c:ser>
          <c:idx val="0"/>
          <c:order val="0"/>
          <c:tx>
            <c:strRef>
              <c:f>"Capital Income"</c:f>
              <c:strCache>
                <c:ptCount val="1"/>
                <c:pt idx="0">
                  <c:v>Capital Income</c:v>
                </c:pt>
              </c:strCache>
            </c:strRef>
          </c:tx>
          <c:spPr>
            <a:solidFill>
              <a:srgbClr val="1f3864"/>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Summary &amp; Ratio'!$D$6:$G$6</c:f>
              <c:multiLvlStrCache>
                <c:ptCount val="1"/>
                <c:lvl>
                  <c:pt idx="0">
                    <c:v>FY 2022-23
(Baseline)</c:v>
                  </c:pt>
                </c:lvl>
                <c:lvl>
                  <c:pt idx="0">
                    <c:v>FY 2023-24
(Year-1)</c:v>
                  </c:pt>
                </c:lvl>
                <c:lvl>
                  <c:pt idx="0">
                    <c:v>FY 2024-25
(Year-2)</c:v>
                  </c:pt>
                </c:lvl>
                <c:lvl>
                  <c:pt idx="0">
                    <c:v>FY 2025-26
(Year-3)</c:v>
                  </c:pt>
                </c:lvl>
              </c:multiLvlStrCache>
            </c:multiLvlStrRef>
          </c:cat>
          <c:val>
            <c:numRef>
              <c:f>'5. Summary &amp; Ratio'!$D$7:$G$7</c:f>
              <c:numCache>
                <c:formatCode>#,##0.00;\(#,##0.00\);\-</c:formatCode>
                <c:ptCount val="4"/>
                <c:pt idx="0">
                  <c:v>0</c:v>
                </c:pt>
                <c:pt idx="1">
                  <c:v>0</c:v>
                </c:pt>
                <c:pt idx="2">
                  <c:v>0</c:v>
                </c:pt>
                <c:pt idx="3">
                  <c:v>0</c:v>
                </c:pt>
              </c:numCache>
            </c:numRef>
          </c:val>
        </c:ser>
        <c:ser>
          <c:idx val="1"/>
          <c:order val="1"/>
          <c:tx>
            <c:strRef>
              <c:f>"Capital Expenditure"</c:f>
              <c:strCache>
                <c:ptCount val="1"/>
                <c:pt idx="0">
                  <c:v>Capital Expenditure</c:v>
                </c:pt>
              </c:strCache>
            </c:strRef>
          </c:tx>
          <c:spPr>
            <a:solidFill>
              <a:srgbClr val="c9a227"/>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multiLvlStrRef>
              <c:f>'5. Summary &amp; Ratio'!$D$6:$G$6</c:f>
              <c:multiLvlStrCache>
                <c:ptCount val="1"/>
                <c:lvl>
                  <c:pt idx="0">
                    <c:v>FY 2022-23
(Baseline)</c:v>
                  </c:pt>
                </c:lvl>
                <c:lvl>
                  <c:pt idx="0">
                    <c:v>FY 2023-24
(Year-1)</c:v>
                  </c:pt>
                </c:lvl>
                <c:lvl>
                  <c:pt idx="0">
                    <c:v>FY 2024-25
(Year-2)</c:v>
                  </c:pt>
                </c:lvl>
                <c:lvl>
                  <c:pt idx="0">
                    <c:v>FY 2025-26
(Year-3)</c:v>
                  </c:pt>
                </c:lvl>
              </c:multiLvlStrCache>
            </c:multiLvlStrRef>
          </c:cat>
          <c:val>
            <c:numRef>
              <c:f>'5. Summary &amp; Ratio'!$D$8:$G$8</c:f>
              <c:numCache>
                <c:formatCode>#,##0.00;\(#,##0.00\);\-</c:formatCode>
                <c:ptCount val="4"/>
                <c:pt idx="0">
                  <c:v>0</c:v>
                </c:pt>
                <c:pt idx="1">
                  <c:v>0</c:v>
                </c:pt>
                <c:pt idx="2">
                  <c:v>0</c:v>
                </c:pt>
                <c:pt idx="3">
                  <c:v>0</c:v>
                </c:pt>
              </c:numCache>
            </c:numRef>
          </c:val>
        </c:ser>
        <c:gapWidth val="150"/>
        <c:overlap val="0"/>
        <c:axId val="61330893"/>
        <c:axId val="9180384"/>
      </c:barChart>
      <c:catAx>
        <c:axId val="61330893"/>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9180384"/>
        <c:crosses val="autoZero"/>
        <c:auto val="1"/>
        <c:lblAlgn val="ctr"/>
        <c:lblOffset val="100"/>
        <c:noMultiLvlLbl val="0"/>
      </c:catAx>
      <c:valAx>
        <c:axId val="9180384"/>
        <c:scaling>
          <c:orientation val="minMax"/>
        </c:scaling>
        <c:delete val="0"/>
        <c:axPos val="l"/>
        <c:majorGridlines>
          <c:spPr>
            <a:ln w="9360">
              <a:solidFill>
                <a:srgbClr val="878787"/>
              </a:solidFill>
              <a:round/>
            </a:ln>
          </c:spPr>
        </c:majorGridlines>
        <c:title>
          <c:tx>
            <c:rich>
              <a:bodyPr rot="-5400000"/>
              <a:lstStyle/>
              <a:p>
                <a:pPr>
                  <a:defRPr b="1" sz="1000" spc="-1" strike="noStrike">
                    <a:solidFill>
                      <a:srgbClr val="000000"/>
                    </a:solidFill>
                    <a:latin typeface="Calibri"/>
                  </a:defRPr>
                </a:pPr>
                <a:r>
                  <a:rPr b="1" sz="1000" spc="-1" strike="noStrike">
                    <a:solidFill>
                      <a:srgbClr val="000000"/>
                    </a:solidFill>
                    <a:latin typeface="Calibri"/>
                  </a:rPr>
                  <a:t>INR Lakhs</a:t>
                </a:r>
              </a:p>
            </c:rich>
          </c:tx>
          <c:overlay val="0"/>
          <c:spPr>
            <a:noFill/>
            <a:ln w="0">
              <a:noFill/>
            </a:ln>
          </c:spPr>
        </c:title>
        <c:numFmt formatCode="#,##0.00;\(#,##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330893"/>
        <c:crosses val="autoZero"/>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0</xdr:colOff>
      <xdr:row>37</xdr:row>
      <xdr:rowOff>0</xdr:rowOff>
    </xdr:from>
    <xdr:to>
      <xdr:col>7</xdr:col>
      <xdr:colOff>196920</xdr:colOff>
      <xdr:row>57</xdr:row>
      <xdr:rowOff>149760</xdr:rowOff>
    </xdr:to>
    <xdr:graphicFrame>
      <xdr:nvGraphicFramePr>
        <xdr:cNvPr id="0" name="Chart 1"/>
        <xdr:cNvGraphicFramePr/>
      </xdr:nvGraphicFramePr>
      <xdr:xfrm>
        <a:off x="846000" y="16706880"/>
        <a:ext cx="9359640" cy="395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2"/>
    <col collapsed="false" customWidth="true" hidden="false" outlineLevel="0" max="4" min="3" style="0" width="45"/>
    <col collapsed="false" customWidth="true" hidden="false" outlineLevel="0" max="5" min="5" style="0" width="40"/>
  </cols>
  <sheetData>
    <row r="2" customFormat="false" ht="52.5" hidden="false" customHeight="true" outlineLevel="0" collapsed="false">
      <c r="B2" s="1" t="s">
        <v>0</v>
      </c>
      <c r="C2" s="1"/>
      <c r="D2" s="1"/>
      <c r="E2" s="1"/>
    </row>
    <row r="3" customFormat="false" ht="33.75" hidden="false" customHeight="true" outlineLevel="0" collapsed="false">
      <c r="B3" s="2" t="s">
        <v>1</v>
      </c>
      <c r="C3" s="2"/>
      <c r="D3" s="2"/>
      <c r="E3" s="2"/>
    </row>
    <row r="5" customFormat="false" ht="30.75" hidden="false" customHeight="true" outlineLevel="0" collapsed="false">
      <c r="B5" s="3" t="s">
        <v>2</v>
      </c>
      <c r="C5" s="3"/>
      <c r="D5" s="3"/>
      <c r="E5" s="3"/>
    </row>
    <row r="6" customFormat="false" ht="36.75" hidden="false" customHeight="true" outlineLevel="0" collapsed="false">
      <c r="B6" s="4" t="s">
        <v>3</v>
      </c>
      <c r="C6" s="4"/>
      <c r="D6" s="4"/>
      <c r="E6" s="4"/>
    </row>
    <row r="7" customFormat="false" ht="27.75" hidden="false" customHeight="true" outlineLevel="0" collapsed="false">
      <c r="B7" s="5" t="s">
        <v>4</v>
      </c>
      <c r="C7" s="5"/>
      <c r="D7" s="5"/>
      <c r="E7" s="5"/>
    </row>
    <row r="9" customFormat="false" ht="30" hidden="false" customHeight="true" outlineLevel="0" collapsed="false">
      <c r="B9" s="6" t="s">
        <v>5</v>
      </c>
      <c r="C9" s="6"/>
      <c r="D9" s="6"/>
      <c r="E9" s="6"/>
    </row>
    <row r="10" customFormat="false" ht="210.75" hidden="false" customHeight="true" outlineLevel="0" collapsed="false">
      <c r="B10" s="7" t="s">
        <v>6</v>
      </c>
      <c r="C10" s="7"/>
      <c r="D10" s="7"/>
      <c r="E10" s="7"/>
    </row>
    <row r="12" customFormat="false" ht="30" hidden="false" customHeight="true" outlineLevel="0" collapsed="false">
      <c r="B12" s="6" t="s">
        <v>7</v>
      </c>
      <c r="C12" s="6"/>
      <c r="D12" s="6"/>
      <c r="E12" s="6"/>
    </row>
    <row r="13" customFormat="false" ht="332.25" hidden="false" customHeight="true" outlineLevel="0" collapsed="false">
      <c r="B13" s="7" t="s">
        <v>8</v>
      </c>
      <c r="C13" s="7"/>
      <c r="D13" s="7"/>
      <c r="E13" s="7"/>
    </row>
    <row r="15" customFormat="false" ht="30" hidden="false" customHeight="true" outlineLevel="0" collapsed="false">
      <c r="B15" s="6" t="s">
        <v>9</v>
      </c>
      <c r="C15" s="6"/>
      <c r="D15" s="6"/>
      <c r="E15" s="6"/>
    </row>
    <row r="16" customFormat="false" ht="129.75" hidden="false" customHeight="true" outlineLevel="0" collapsed="false">
      <c r="B16" s="7" t="s">
        <v>10</v>
      </c>
      <c r="C16" s="7"/>
      <c r="D16" s="7"/>
      <c r="E16" s="7"/>
    </row>
    <row r="18" customFormat="false" ht="30" hidden="false" customHeight="true" outlineLevel="0" collapsed="false">
      <c r="B18" s="6" t="s">
        <v>11</v>
      </c>
      <c r="C18" s="6"/>
      <c r="D18" s="6"/>
      <c r="E18" s="6"/>
    </row>
    <row r="19" customFormat="false" ht="27.75" hidden="false" customHeight="true" outlineLevel="0" collapsed="false">
      <c r="B19" s="8" t="s">
        <v>12</v>
      </c>
      <c r="C19" s="8" t="s">
        <v>13</v>
      </c>
      <c r="D19" s="8" t="s">
        <v>14</v>
      </c>
      <c r="E19" s="8" t="s">
        <v>15</v>
      </c>
    </row>
    <row r="20" customFormat="false" ht="48" hidden="false" customHeight="true" outlineLevel="0" collapsed="false">
      <c r="B20" s="9" t="s">
        <v>16</v>
      </c>
      <c r="C20" s="9" t="s">
        <v>17</v>
      </c>
      <c r="D20" s="9" t="s">
        <v>18</v>
      </c>
      <c r="E20" s="9" t="s">
        <v>19</v>
      </c>
    </row>
    <row r="21" customFormat="false" ht="88.5" hidden="false" customHeight="true" outlineLevel="0" collapsed="false">
      <c r="B21" s="10" t="s">
        <v>20</v>
      </c>
      <c r="C21" s="10" t="s">
        <v>21</v>
      </c>
      <c r="D21" s="10" t="s">
        <v>22</v>
      </c>
      <c r="E21" s="10" t="s">
        <v>23</v>
      </c>
    </row>
    <row r="22" customFormat="false" ht="48" hidden="false" customHeight="true" outlineLevel="0" collapsed="false">
      <c r="B22" s="9" t="s">
        <v>24</v>
      </c>
      <c r="C22" s="9" t="s">
        <v>25</v>
      </c>
      <c r="D22" s="9" t="s">
        <v>26</v>
      </c>
      <c r="E22" s="9" t="s">
        <v>27</v>
      </c>
    </row>
    <row r="23" customFormat="false" ht="48" hidden="false" customHeight="true" outlineLevel="0" collapsed="false">
      <c r="B23" s="10" t="s">
        <v>28</v>
      </c>
      <c r="C23" s="10" t="s">
        <v>29</v>
      </c>
      <c r="D23" s="10" t="s">
        <v>26</v>
      </c>
      <c r="E23" s="10" t="s">
        <v>27</v>
      </c>
    </row>
    <row r="24" customFormat="false" ht="48" hidden="false" customHeight="true" outlineLevel="0" collapsed="false">
      <c r="B24" s="9" t="s">
        <v>30</v>
      </c>
      <c r="C24" s="9" t="s">
        <v>31</v>
      </c>
      <c r="D24" s="9" t="s">
        <v>32</v>
      </c>
      <c r="E24" s="9" t="s">
        <v>33</v>
      </c>
    </row>
    <row r="25" customFormat="false" ht="48" hidden="false" customHeight="true" outlineLevel="0" collapsed="false">
      <c r="B25" s="10" t="s">
        <v>34</v>
      </c>
      <c r="C25" s="10" t="s">
        <v>35</v>
      </c>
      <c r="D25" s="10" t="s">
        <v>36</v>
      </c>
      <c r="E25" s="10" t="s">
        <v>37</v>
      </c>
    </row>
    <row r="26" customFormat="false" ht="48" hidden="false" customHeight="true" outlineLevel="0" collapsed="false">
      <c r="B26" s="9" t="s">
        <v>38</v>
      </c>
      <c r="C26" s="9" t="s">
        <v>39</v>
      </c>
      <c r="D26" s="9" t="s">
        <v>40</v>
      </c>
      <c r="E26" s="9" t="s">
        <v>41</v>
      </c>
    </row>
    <row r="27" customFormat="false" ht="48" hidden="false" customHeight="true" outlineLevel="0" collapsed="false">
      <c r="B27" s="10" t="s">
        <v>42</v>
      </c>
      <c r="C27" s="10" t="s">
        <v>43</v>
      </c>
      <c r="D27" s="10" t="s">
        <v>44</v>
      </c>
      <c r="E27" s="10" t="s">
        <v>45</v>
      </c>
    </row>
    <row r="29" customFormat="false" ht="30" hidden="false" customHeight="true" outlineLevel="0" collapsed="false">
      <c r="B29" s="6" t="s">
        <v>46</v>
      </c>
      <c r="C29" s="6"/>
      <c r="D29" s="6"/>
      <c r="E29" s="6"/>
    </row>
    <row r="30" customFormat="false" ht="27.75" hidden="false" customHeight="true" outlineLevel="0" collapsed="false">
      <c r="B30" s="11" t="s">
        <v>47</v>
      </c>
      <c r="C30" s="12" t="s">
        <v>48</v>
      </c>
      <c r="D30" s="12"/>
      <c r="E30" s="12"/>
    </row>
    <row r="31" customFormat="false" ht="27.75" hidden="false" customHeight="true" outlineLevel="0" collapsed="false">
      <c r="B31" s="13" t="s">
        <v>49</v>
      </c>
      <c r="C31" s="12" t="s">
        <v>50</v>
      </c>
      <c r="D31" s="12"/>
      <c r="E31" s="12"/>
    </row>
    <row r="32" customFormat="false" ht="27.75" hidden="false" customHeight="true" outlineLevel="0" collapsed="false">
      <c r="B32" s="14" t="s">
        <v>51</v>
      </c>
      <c r="C32" s="12" t="s">
        <v>52</v>
      </c>
      <c r="D32" s="12"/>
      <c r="E32" s="12"/>
    </row>
    <row r="33" customFormat="false" ht="27.75" hidden="false" customHeight="true" outlineLevel="0" collapsed="false">
      <c r="B33" s="15" t="s">
        <v>53</v>
      </c>
      <c r="C33" s="12" t="s">
        <v>54</v>
      </c>
      <c r="D33" s="12"/>
      <c r="E33" s="12"/>
    </row>
    <row r="35" customFormat="false" ht="42.75" hidden="false" customHeight="true" outlineLevel="0" collapsed="false">
      <c r="B35" s="16" t="s">
        <v>55</v>
      </c>
      <c r="C35" s="16"/>
      <c r="D35" s="16"/>
      <c r="E35" s="16"/>
    </row>
    <row r="36" customFormat="false" ht="42.75" hidden="false" customHeight="true" outlineLevel="0" collapsed="false">
      <c r="B36" s="17" t="s">
        <v>56</v>
      </c>
      <c r="C36" s="17"/>
      <c r="D36" s="17"/>
      <c r="E36" s="17"/>
    </row>
  </sheetData>
  <mergeCells count="19">
    <mergeCell ref="B2:E2"/>
    <mergeCell ref="B3:E3"/>
    <mergeCell ref="B5:E5"/>
    <mergeCell ref="B6:E6"/>
    <mergeCell ref="B7:E7"/>
    <mergeCell ref="B9:E9"/>
    <mergeCell ref="B10:E10"/>
    <mergeCell ref="B12:E12"/>
    <mergeCell ref="B13:E13"/>
    <mergeCell ref="B15:E15"/>
    <mergeCell ref="B16:E16"/>
    <mergeCell ref="B18:E18"/>
    <mergeCell ref="B29:E29"/>
    <mergeCell ref="C30:E30"/>
    <mergeCell ref="C31:E31"/>
    <mergeCell ref="C32:E32"/>
    <mergeCell ref="C33:E33"/>
    <mergeCell ref="B35:E35"/>
    <mergeCell ref="B36:E36"/>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E6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8"/>
    <col collapsed="false" customWidth="true" hidden="false" outlineLevel="0" max="4" min="4" style="0" width="55"/>
    <col collapsed="false" customWidth="true" hidden="false" outlineLevel="0" max="5" min="5" style="0" width="50"/>
  </cols>
  <sheetData>
    <row r="2" customFormat="false" ht="43.5" hidden="false" customHeight="true" outlineLevel="0" collapsed="false">
      <c r="B2" s="18" t="s">
        <v>57</v>
      </c>
      <c r="C2" s="18"/>
      <c r="D2" s="18"/>
      <c r="E2" s="18"/>
    </row>
    <row r="3" customFormat="false" ht="30" hidden="false" customHeight="true" outlineLevel="0" collapsed="false">
      <c r="B3" s="6" t="s">
        <v>58</v>
      </c>
      <c r="C3" s="6"/>
      <c r="D3" s="6"/>
      <c r="E3" s="6"/>
    </row>
    <row r="4" customFormat="false" ht="129.75" hidden="false" customHeight="true" outlineLevel="0" collapsed="false">
      <c r="B4" s="7" t="s">
        <v>59</v>
      </c>
      <c r="C4" s="7"/>
      <c r="D4" s="7"/>
      <c r="E4" s="7"/>
    </row>
    <row r="6" customFormat="false" ht="30" hidden="false" customHeight="true" outlineLevel="0" collapsed="false">
      <c r="B6" s="6" t="s">
        <v>60</v>
      </c>
      <c r="C6" s="6"/>
      <c r="D6" s="6"/>
      <c r="E6" s="6"/>
    </row>
    <row r="7" customFormat="false" ht="27.75" hidden="false" customHeight="true" outlineLevel="0" collapsed="false">
      <c r="B7" s="8" t="s">
        <v>61</v>
      </c>
      <c r="C7" s="8" t="s">
        <v>62</v>
      </c>
      <c r="D7" s="8" t="s">
        <v>63</v>
      </c>
      <c r="E7" s="8" t="s">
        <v>64</v>
      </c>
    </row>
    <row r="8" customFormat="false" ht="68.25" hidden="false" customHeight="true" outlineLevel="0" collapsed="false">
      <c r="B8" s="9" t="s">
        <v>65</v>
      </c>
      <c r="C8" s="9" t="s">
        <v>66</v>
      </c>
      <c r="D8" s="9" t="s">
        <v>67</v>
      </c>
      <c r="E8" s="9" t="s">
        <v>68</v>
      </c>
    </row>
    <row r="9" customFormat="false" ht="88.5" hidden="false" customHeight="true" outlineLevel="0" collapsed="false">
      <c r="B9" s="10" t="s">
        <v>69</v>
      </c>
      <c r="C9" s="10" t="s">
        <v>70</v>
      </c>
      <c r="D9" s="10" t="s">
        <v>71</v>
      </c>
      <c r="E9" s="10" t="s">
        <v>72</v>
      </c>
    </row>
    <row r="10" customFormat="false" ht="48" hidden="false" customHeight="true" outlineLevel="0" collapsed="false">
      <c r="B10" s="9" t="s">
        <v>73</v>
      </c>
      <c r="C10" s="9" t="s">
        <v>74</v>
      </c>
      <c r="D10" s="9" t="s">
        <v>75</v>
      </c>
      <c r="E10" s="9" t="s">
        <v>26</v>
      </c>
    </row>
    <row r="11" customFormat="false" ht="88.5" hidden="false" customHeight="true" outlineLevel="0" collapsed="false">
      <c r="B11" s="10" t="s">
        <v>76</v>
      </c>
      <c r="C11" s="10" t="s">
        <v>77</v>
      </c>
      <c r="D11" s="10" t="s">
        <v>78</v>
      </c>
      <c r="E11" s="10" t="s">
        <v>72</v>
      </c>
    </row>
    <row r="12" customFormat="false" ht="48" hidden="false" customHeight="true" outlineLevel="0" collapsed="false">
      <c r="B12" s="9" t="s">
        <v>79</v>
      </c>
      <c r="C12" s="9" t="s">
        <v>80</v>
      </c>
      <c r="D12" s="9" t="s">
        <v>81</v>
      </c>
      <c r="E12" s="9" t="s">
        <v>26</v>
      </c>
    </row>
    <row r="13" customFormat="false" ht="68.25" hidden="false" customHeight="true" outlineLevel="0" collapsed="false">
      <c r="B13" s="10" t="s">
        <v>82</v>
      </c>
      <c r="C13" s="10" t="s">
        <v>83</v>
      </c>
      <c r="D13" s="10" t="s">
        <v>84</v>
      </c>
      <c r="E13" s="10" t="s">
        <v>26</v>
      </c>
    </row>
    <row r="14" customFormat="false" ht="48" hidden="false" customHeight="true" outlineLevel="0" collapsed="false">
      <c r="B14" s="9" t="s">
        <v>85</v>
      </c>
      <c r="C14" s="9" t="s">
        <v>86</v>
      </c>
      <c r="D14" s="9" t="s">
        <v>87</v>
      </c>
      <c r="E14" s="9" t="s">
        <v>88</v>
      </c>
    </row>
    <row r="15" customFormat="false" ht="68.25" hidden="false" customHeight="true" outlineLevel="0" collapsed="false">
      <c r="B15" s="10" t="s">
        <v>89</v>
      </c>
      <c r="C15" s="10" t="s">
        <v>90</v>
      </c>
      <c r="D15" s="10" t="s">
        <v>91</v>
      </c>
      <c r="E15" s="10" t="s">
        <v>92</v>
      </c>
    </row>
    <row r="16" customFormat="false" ht="48" hidden="false" customHeight="true" outlineLevel="0" collapsed="false">
      <c r="B16" s="9" t="s">
        <v>93</v>
      </c>
      <c r="C16" s="9" t="s">
        <v>94</v>
      </c>
      <c r="D16" s="9" t="s">
        <v>95</v>
      </c>
      <c r="E16" s="9" t="s">
        <v>26</v>
      </c>
    </row>
    <row r="17" customFormat="false" ht="68.25" hidden="false" customHeight="true" outlineLevel="0" collapsed="false">
      <c r="B17" s="10" t="s">
        <v>96</v>
      </c>
      <c r="C17" s="10" t="s">
        <v>97</v>
      </c>
      <c r="D17" s="10" t="s">
        <v>98</v>
      </c>
      <c r="E17" s="10" t="s">
        <v>99</v>
      </c>
    </row>
    <row r="19" customFormat="false" ht="30" hidden="false" customHeight="true" outlineLevel="0" collapsed="false">
      <c r="B19" s="6" t="s">
        <v>100</v>
      </c>
      <c r="C19" s="6"/>
      <c r="D19" s="6"/>
      <c r="E19" s="6"/>
    </row>
    <row r="20" customFormat="false" ht="27.75" hidden="false" customHeight="true" outlineLevel="0" collapsed="false">
      <c r="B20" s="8" t="s">
        <v>101</v>
      </c>
      <c r="C20" s="8" t="s">
        <v>102</v>
      </c>
      <c r="D20" s="8" t="s">
        <v>103</v>
      </c>
      <c r="E20" s="8" t="s">
        <v>104</v>
      </c>
    </row>
    <row r="21" customFormat="false" ht="88.5" hidden="false" customHeight="true" outlineLevel="0" collapsed="false">
      <c r="B21" s="9" t="s">
        <v>105</v>
      </c>
      <c r="C21" s="9" t="s">
        <v>106</v>
      </c>
      <c r="D21" s="9" t="s">
        <v>107</v>
      </c>
      <c r="E21" s="9" t="s">
        <v>108</v>
      </c>
    </row>
    <row r="22" customFormat="false" ht="68.25" hidden="false" customHeight="true" outlineLevel="0" collapsed="false">
      <c r="B22" s="10" t="s">
        <v>109</v>
      </c>
      <c r="C22" s="10" t="s">
        <v>110</v>
      </c>
      <c r="D22" s="10" t="s">
        <v>111</v>
      </c>
      <c r="E22" s="10" t="s">
        <v>112</v>
      </c>
    </row>
    <row r="23" customFormat="false" ht="88.5" hidden="false" customHeight="true" outlineLevel="0" collapsed="false">
      <c r="B23" s="9" t="s">
        <v>113</v>
      </c>
      <c r="C23" s="9" t="s">
        <v>114</v>
      </c>
      <c r="D23" s="9" t="s">
        <v>115</v>
      </c>
      <c r="E23" s="9" t="s">
        <v>116</v>
      </c>
    </row>
    <row r="24" customFormat="false" ht="88.5" hidden="false" customHeight="true" outlineLevel="0" collapsed="false">
      <c r="B24" s="10" t="s">
        <v>117</v>
      </c>
      <c r="C24" s="10" t="s">
        <v>118</v>
      </c>
      <c r="D24" s="10" t="s">
        <v>119</v>
      </c>
      <c r="E24" s="10" t="s">
        <v>120</v>
      </c>
    </row>
    <row r="25" customFormat="false" ht="48" hidden="false" customHeight="true" outlineLevel="0" collapsed="false">
      <c r="B25" s="9" t="s">
        <v>121</v>
      </c>
      <c r="C25" s="9" t="s">
        <v>122</v>
      </c>
      <c r="D25" s="9" t="s">
        <v>123</v>
      </c>
      <c r="E25" s="9" t="s">
        <v>124</v>
      </c>
    </row>
    <row r="27" customFormat="false" ht="30" hidden="false" customHeight="true" outlineLevel="0" collapsed="false">
      <c r="B27" s="6" t="s">
        <v>125</v>
      </c>
      <c r="C27" s="6"/>
      <c r="D27" s="6"/>
      <c r="E27" s="6"/>
    </row>
    <row r="28" customFormat="false" ht="27.75" hidden="false" customHeight="true" outlineLevel="0" collapsed="false">
      <c r="B28" s="8" t="s">
        <v>101</v>
      </c>
      <c r="C28" s="8" t="s">
        <v>102</v>
      </c>
      <c r="D28" s="8" t="s">
        <v>103</v>
      </c>
      <c r="E28" s="8" t="s">
        <v>104</v>
      </c>
    </row>
    <row r="29" customFormat="false" ht="68.25" hidden="false" customHeight="true" outlineLevel="0" collapsed="false">
      <c r="B29" s="9" t="s">
        <v>65</v>
      </c>
      <c r="C29" s="9" t="s">
        <v>126</v>
      </c>
      <c r="D29" s="9" t="s">
        <v>127</v>
      </c>
      <c r="E29" s="9" t="s">
        <v>128</v>
      </c>
    </row>
    <row r="30" customFormat="false" ht="68.25" hidden="false" customHeight="true" outlineLevel="0" collapsed="false">
      <c r="B30" s="10" t="s">
        <v>69</v>
      </c>
      <c r="C30" s="10" t="s">
        <v>129</v>
      </c>
      <c r="D30" s="10" t="s">
        <v>130</v>
      </c>
      <c r="E30" s="10" t="s">
        <v>131</v>
      </c>
    </row>
    <row r="31" customFormat="false" ht="48" hidden="false" customHeight="true" outlineLevel="0" collapsed="false">
      <c r="B31" s="9" t="s">
        <v>73</v>
      </c>
      <c r="C31" s="9" t="s">
        <v>132</v>
      </c>
      <c r="D31" s="9" t="s">
        <v>133</v>
      </c>
      <c r="E31" s="9" t="s">
        <v>134</v>
      </c>
    </row>
    <row r="32" customFormat="false" ht="48" hidden="false" customHeight="true" outlineLevel="0" collapsed="false">
      <c r="B32" s="10" t="s">
        <v>76</v>
      </c>
      <c r="C32" s="10" t="s">
        <v>135</v>
      </c>
      <c r="D32" s="10" t="s">
        <v>136</v>
      </c>
      <c r="E32" s="10" t="s">
        <v>137</v>
      </c>
    </row>
    <row r="33" customFormat="false" ht="30" hidden="false" customHeight="true" outlineLevel="0" collapsed="false">
      <c r="B33" s="9" t="s">
        <v>79</v>
      </c>
      <c r="C33" s="9" t="s">
        <v>138</v>
      </c>
      <c r="D33" s="9" t="s">
        <v>139</v>
      </c>
      <c r="E33" s="9" t="s">
        <v>140</v>
      </c>
    </row>
    <row r="34" customFormat="false" ht="48" hidden="false" customHeight="true" outlineLevel="0" collapsed="false">
      <c r="B34" s="10" t="s">
        <v>82</v>
      </c>
      <c r="C34" s="10" t="s">
        <v>141</v>
      </c>
      <c r="D34" s="10" t="s">
        <v>142</v>
      </c>
      <c r="E34" s="10" t="s">
        <v>143</v>
      </c>
    </row>
    <row r="35" customFormat="false" ht="48" hidden="false" customHeight="true" outlineLevel="0" collapsed="false">
      <c r="B35" s="9" t="s">
        <v>85</v>
      </c>
      <c r="C35" s="9" t="s">
        <v>144</v>
      </c>
      <c r="D35" s="9" t="s">
        <v>145</v>
      </c>
      <c r="E35" s="9" t="s">
        <v>146</v>
      </c>
    </row>
    <row r="36" customFormat="false" ht="48" hidden="false" customHeight="true" outlineLevel="0" collapsed="false">
      <c r="B36" s="10" t="s">
        <v>89</v>
      </c>
      <c r="C36" s="10" t="s">
        <v>147</v>
      </c>
      <c r="D36" s="10" t="s">
        <v>148</v>
      </c>
      <c r="E36" s="10" t="s">
        <v>149</v>
      </c>
    </row>
    <row r="38" customFormat="false" ht="30" hidden="false" customHeight="true" outlineLevel="0" collapsed="false">
      <c r="B38" s="6" t="s">
        <v>150</v>
      </c>
      <c r="C38" s="6"/>
      <c r="D38" s="6"/>
      <c r="E38" s="6"/>
    </row>
    <row r="39" customFormat="false" ht="27.75" hidden="false" customHeight="true" outlineLevel="0" collapsed="false">
      <c r="B39" s="8" t="s">
        <v>151</v>
      </c>
      <c r="C39" s="8" t="s">
        <v>152</v>
      </c>
      <c r="D39" s="8" t="s">
        <v>153</v>
      </c>
      <c r="E39" s="8" t="s">
        <v>154</v>
      </c>
    </row>
    <row r="40" customFormat="false" ht="48" hidden="false" customHeight="true" outlineLevel="0" collapsed="false">
      <c r="B40" s="9" t="s">
        <v>65</v>
      </c>
      <c r="C40" s="9" t="s">
        <v>155</v>
      </c>
      <c r="D40" s="9" t="s">
        <v>156</v>
      </c>
      <c r="E40" s="9" t="s">
        <v>157</v>
      </c>
    </row>
    <row r="41" customFormat="false" ht="48" hidden="false" customHeight="true" outlineLevel="0" collapsed="false">
      <c r="B41" s="10" t="s">
        <v>69</v>
      </c>
      <c r="C41" s="10" t="s">
        <v>158</v>
      </c>
      <c r="D41" s="10" t="s">
        <v>159</v>
      </c>
      <c r="E41" s="10" t="s">
        <v>160</v>
      </c>
    </row>
    <row r="42" customFormat="false" ht="48" hidden="false" customHeight="true" outlineLevel="0" collapsed="false">
      <c r="B42" s="9" t="s">
        <v>73</v>
      </c>
      <c r="C42" s="9" t="s">
        <v>161</v>
      </c>
      <c r="D42" s="9" t="s">
        <v>162</v>
      </c>
      <c r="E42" s="9" t="s">
        <v>163</v>
      </c>
    </row>
    <row r="43" customFormat="false" ht="48" hidden="false" customHeight="true" outlineLevel="0" collapsed="false">
      <c r="B43" s="10" t="s">
        <v>76</v>
      </c>
      <c r="C43" s="10" t="s">
        <v>164</v>
      </c>
      <c r="D43" s="10" t="s">
        <v>165</v>
      </c>
      <c r="E43" s="10" t="s">
        <v>166</v>
      </c>
    </row>
    <row r="44" customFormat="false" ht="48" hidden="false" customHeight="true" outlineLevel="0" collapsed="false">
      <c r="B44" s="9" t="s">
        <v>79</v>
      </c>
      <c r="C44" s="9" t="s">
        <v>167</v>
      </c>
      <c r="D44" s="9" t="s">
        <v>168</v>
      </c>
      <c r="E44" s="9" t="s">
        <v>169</v>
      </c>
    </row>
    <row r="45" customFormat="false" ht="48" hidden="false" customHeight="true" outlineLevel="0" collapsed="false">
      <c r="B45" s="10" t="s">
        <v>82</v>
      </c>
      <c r="C45" s="10" t="s">
        <v>170</v>
      </c>
      <c r="D45" s="10" t="s">
        <v>171</v>
      </c>
      <c r="E45" s="10" t="s">
        <v>172</v>
      </c>
    </row>
    <row r="46" customFormat="false" ht="48" hidden="false" customHeight="true" outlineLevel="0" collapsed="false">
      <c r="B46" s="9" t="s">
        <v>85</v>
      </c>
      <c r="C46" s="9" t="s">
        <v>173</v>
      </c>
      <c r="D46" s="9" t="s">
        <v>174</v>
      </c>
      <c r="E46" s="9" t="s">
        <v>175</v>
      </c>
    </row>
    <row r="48" customFormat="false" ht="30" hidden="false" customHeight="true" outlineLevel="0" collapsed="false">
      <c r="B48" s="6" t="s">
        <v>176</v>
      </c>
      <c r="C48" s="6"/>
      <c r="D48" s="6"/>
      <c r="E48" s="6"/>
    </row>
    <row r="49" customFormat="false" ht="27.75" hidden="false" customHeight="true" outlineLevel="0" collapsed="false">
      <c r="B49" s="8" t="s">
        <v>177</v>
      </c>
      <c r="C49" s="8" t="s">
        <v>161</v>
      </c>
      <c r="D49" s="8" t="s">
        <v>178</v>
      </c>
      <c r="E49" s="8" t="s">
        <v>179</v>
      </c>
    </row>
    <row r="50" customFormat="false" ht="48" hidden="false" customHeight="true" outlineLevel="0" collapsed="false">
      <c r="B50" s="9" t="s">
        <v>180</v>
      </c>
      <c r="C50" s="9" t="s">
        <v>181</v>
      </c>
      <c r="D50" s="9" t="s">
        <v>182</v>
      </c>
      <c r="E50" s="9" t="s">
        <v>183</v>
      </c>
    </row>
    <row r="51" customFormat="false" ht="48" hidden="false" customHeight="true" outlineLevel="0" collapsed="false">
      <c r="B51" s="10" t="s">
        <v>184</v>
      </c>
      <c r="C51" s="10" t="s">
        <v>185</v>
      </c>
      <c r="D51" s="10" t="s">
        <v>186</v>
      </c>
      <c r="E51" s="10" t="s">
        <v>187</v>
      </c>
    </row>
    <row r="52" customFormat="false" ht="48" hidden="false" customHeight="true" outlineLevel="0" collapsed="false">
      <c r="B52" s="9" t="s">
        <v>188</v>
      </c>
      <c r="C52" s="9" t="s">
        <v>189</v>
      </c>
      <c r="D52" s="9" t="s">
        <v>190</v>
      </c>
      <c r="E52" s="9" t="s">
        <v>191</v>
      </c>
    </row>
    <row r="53" customFormat="false" ht="68.25" hidden="false" customHeight="true" outlineLevel="0" collapsed="false">
      <c r="B53" s="10" t="s">
        <v>192</v>
      </c>
      <c r="C53" s="10" t="s">
        <v>193</v>
      </c>
      <c r="D53" s="10" t="s">
        <v>194</v>
      </c>
      <c r="E53" s="10" t="s">
        <v>195</v>
      </c>
    </row>
    <row r="55" customFormat="false" ht="30" hidden="false" customHeight="true" outlineLevel="0" collapsed="false">
      <c r="B55" s="6" t="s">
        <v>196</v>
      </c>
      <c r="C55" s="6"/>
      <c r="D55" s="6"/>
      <c r="E55" s="6"/>
    </row>
    <row r="56" customFormat="false" ht="129.75" hidden="false" customHeight="true" outlineLevel="0" collapsed="false">
      <c r="B56" s="7" t="s">
        <v>197</v>
      </c>
      <c r="C56" s="7"/>
      <c r="D56" s="7"/>
      <c r="E56" s="7"/>
    </row>
    <row r="58" customFormat="false" ht="30" hidden="false" customHeight="true" outlineLevel="0" collapsed="false">
      <c r="B58" s="6" t="s">
        <v>198</v>
      </c>
      <c r="C58" s="6"/>
      <c r="D58" s="6"/>
      <c r="E58" s="6"/>
    </row>
    <row r="59" customFormat="false" ht="27.75" hidden="false" customHeight="true" outlineLevel="0" collapsed="false">
      <c r="B59" s="8" t="s">
        <v>151</v>
      </c>
      <c r="C59" s="8" t="s">
        <v>199</v>
      </c>
      <c r="D59" s="8" t="s">
        <v>200</v>
      </c>
      <c r="E59" s="8" t="s">
        <v>201</v>
      </c>
    </row>
    <row r="60" customFormat="false" ht="48" hidden="false" customHeight="true" outlineLevel="0" collapsed="false">
      <c r="B60" s="9" t="s">
        <v>65</v>
      </c>
      <c r="C60" s="9" t="s">
        <v>202</v>
      </c>
      <c r="D60" s="9" t="s">
        <v>203</v>
      </c>
      <c r="E60" s="9" t="s">
        <v>204</v>
      </c>
    </row>
    <row r="61" customFormat="false" ht="48" hidden="false" customHeight="true" outlineLevel="0" collapsed="false">
      <c r="B61" s="10" t="s">
        <v>69</v>
      </c>
      <c r="C61" s="10" t="s">
        <v>205</v>
      </c>
      <c r="D61" s="10" t="s">
        <v>206</v>
      </c>
      <c r="E61" s="10" t="s">
        <v>207</v>
      </c>
    </row>
    <row r="62" customFormat="false" ht="68.25" hidden="false" customHeight="true" outlineLevel="0" collapsed="false">
      <c r="B62" s="9" t="s">
        <v>73</v>
      </c>
      <c r="C62" s="9" t="s">
        <v>208</v>
      </c>
      <c r="D62" s="9" t="s">
        <v>209</v>
      </c>
      <c r="E62" s="9" t="s">
        <v>210</v>
      </c>
    </row>
    <row r="63" customFormat="false" ht="48" hidden="false" customHeight="true" outlineLevel="0" collapsed="false">
      <c r="B63" s="10" t="s">
        <v>76</v>
      </c>
      <c r="C63" s="10" t="s">
        <v>211</v>
      </c>
      <c r="D63" s="10" t="s">
        <v>212</v>
      </c>
      <c r="E63" s="10" t="s">
        <v>213</v>
      </c>
    </row>
    <row r="64" customFormat="false" ht="48" hidden="false" customHeight="true" outlineLevel="0" collapsed="false">
      <c r="B64" s="9" t="s">
        <v>79</v>
      </c>
      <c r="C64" s="9" t="s">
        <v>214</v>
      </c>
      <c r="D64" s="9" t="s">
        <v>215</v>
      </c>
      <c r="E64" s="9" t="s">
        <v>216</v>
      </c>
    </row>
    <row r="65" customFormat="false" ht="48" hidden="false" customHeight="true" outlineLevel="0" collapsed="false">
      <c r="B65" s="10" t="s">
        <v>82</v>
      </c>
      <c r="C65" s="10" t="s">
        <v>217</v>
      </c>
      <c r="D65" s="10" t="s">
        <v>218</v>
      </c>
      <c r="E65" s="10" t="s">
        <v>219</v>
      </c>
    </row>
    <row r="66" customFormat="false" ht="48" hidden="false" customHeight="true" outlineLevel="0" collapsed="false">
      <c r="B66" s="9" t="s">
        <v>85</v>
      </c>
      <c r="C66" s="9" t="s">
        <v>220</v>
      </c>
      <c r="D66" s="9" t="s">
        <v>221</v>
      </c>
      <c r="E66" s="9" t="s">
        <v>222</v>
      </c>
    </row>
    <row r="68" customFormat="false" ht="30" hidden="false" customHeight="true" outlineLevel="0" collapsed="false">
      <c r="B68" s="6" t="s">
        <v>223</v>
      </c>
      <c r="C68" s="6"/>
      <c r="D68" s="6"/>
      <c r="E68" s="6"/>
    </row>
    <row r="69" customFormat="false" ht="129.75" hidden="false" customHeight="true" outlineLevel="0" collapsed="false">
      <c r="B69" s="7" t="s">
        <v>224</v>
      </c>
      <c r="C69" s="7"/>
      <c r="D69" s="7"/>
      <c r="E69" s="7"/>
    </row>
  </sheetData>
  <mergeCells count="13">
    <mergeCell ref="B2:E2"/>
    <mergeCell ref="B3:E3"/>
    <mergeCell ref="B4:E4"/>
    <mergeCell ref="B6:E6"/>
    <mergeCell ref="B19:E19"/>
    <mergeCell ref="B27:E27"/>
    <mergeCell ref="B38:E38"/>
    <mergeCell ref="B48:E48"/>
    <mergeCell ref="B55:E55"/>
    <mergeCell ref="B56:E56"/>
    <mergeCell ref="B58:E58"/>
    <mergeCell ref="B68:E68"/>
    <mergeCell ref="B69:E69"/>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K3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7"/>
    <col collapsed="false" customWidth="true" hidden="false" outlineLevel="0" max="9" min="8" style="0" width="20"/>
    <col collapsed="false" customWidth="true" hidden="false" outlineLevel="0" max="11" min="10" style="0" width="34"/>
  </cols>
  <sheetData>
    <row r="2" customFormat="false" ht="43.5" hidden="false" customHeight="true" outlineLevel="0" collapsed="false">
      <c r="B2" s="18" t="s">
        <v>225</v>
      </c>
      <c r="C2" s="18"/>
      <c r="D2" s="18"/>
      <c r="E2" s="18"/>
      <c r="F2" s="18"/>
      <c r="G2" s="18"/>
      <c r="H2" s="18"/>
      <c r="I2" s="18"/>
      <c r="J2" s="18"/>
      <c r="K2" s="18"/>
    </row>
    <row r="3" customFormat="false" ht="48" hidden="false" customHeight="true" outlineLevel="0" collapsed="false">
      <c r="B3" s="19" t="s">
        <v>226</v>
      </c>
      <c r="C3" s="19"/>
      <c r="D3" s="19"/>
      <c r="E3" s="19"/>
      <c r="F3" s="19"/>
      <c r="G3" s="19"/>
      <c r="H3" s="19"/>
      <c r="I3" s="19"/>
      <c r="J3" s="19"/>
      <c r="K3" s="19"/>
    </row>
    <row r="5" customFormat="false" ht="60" hidden="false" customHeight="true" outlineLevel="0" collapsed="false">
      <c r="B5" s="8" t="s">
        <v>101</v>
      </c>
      <c r="C5" s="8" t="s">
        <v>227</v>
      </c>
      <c r="D5" s="8" t="s">
        <v>228</v>
      </c>
      <c r="E5" s="8" t="s">
        <v>229</v>
      </c>
      <c r="F5" s="8" t="s">
        <v>230</v>
      </c>
      <c r="G5" s="8" t="s">
        <v>231</v>
      </c>
      <c r="H5" s="8" t="s">
        <v>232</v>
      </c>
      <c r="I5" s="8" t="s">
        <v>233</v>
      </c>
      <c r="J5" s="8" t="s">
        <v>234</v>
      </c>
      <c r="K5" s="8" t="s">
        <v>235</v>
      </c>
    </row>
    <row r="6" customFormat="false" ht="27.75" hidden="false" customHeight="true" outlineLevel="0" collapsed="false">
      <c r="B6" s="20" t="s">
        <v>105</v>
      </c>
      <c r="C6" s="20" t="s">
        <v>236</v>
      </c>
      <c r="D6" s="21"/>
      <c r="E6" s="21"/>
      <c r="F6" s="21"/>
      <c r="G6" s="21"/>
      <c r="H6" s="21"/>
      <c r="I6" s="21"/>
      <c r="J6" s="21"/>
      <c r="K6" s="21"/>
    </row>
    <row r="7" customFormat="false" ht="48" hidden="false" customHeight="true" outlineLevel="0" collapsed="false">
      <c r="B7" s="22" t="s">
        <v>237</v>
      </c>
      <c r="C7" s="9" t="s">
        <v>238</v>
      </c>
      <c r="D7" s="23"/>
      <c r="E7" s="23"/>
      <c r="F7" s="23"/>
      <c r="G7" s="23"/>
      <c r="H7" s="24" t="n">
        <f aca="false">SUM(D7:F7)</f>
        <v>0</v>
      </c>
      <c r="I7" s="24" t="n">
        <f aca="false">SUM(D7:G7)</f>
        <v>0</v>
      </c>
      <c r="J7" s="25"/>
      <c r="K7" s="25"/>
    </row>
    <row r="8" customFormat="false" ht="30" hidden="false" customHeight="true" outlineLevel="0" collapsed="false">
      <c r="B8" s="22" t="s">
        <v>239</v>
      </c>
      <c r="C8" s="9" t="s">
        <v>240</v>
      </c>
      <c r="D8" s="23"/>
      <c r="E8" s="23"/>
      <c r="F8" s="23"/>
      <c r="G8" s="23"/>
      <c r="H8" s="24" t="n">
        <f aca="false">SUM(D8:F8)</f>
        <v>0</v>
      </c>
      <c r="I8" s="24" t="n">
        <f aca="false">SUM(D8:G8)</f>
        <v>0</v>
      </c>
      <c r="J8" s="25"/>
      <c r="K8" s="25"/>
    </row>
    <row r="9" customFormat="false" ht="48" hidden="false" customHeight="true" outlineLevel="0" collapsed="false">
      <c r="B9" s="22" t="s">
        <v>241</v>
      </c>
      <c r="C9" s="9" t="s">
        <v>242</v>
      </c>
      <c r="D9" s="23"/>
      <c r="E9" s="23"/>
      <c r="F9" s="23"/>
      <c r="G9" s="23"/>
      <c r="H9" s="24" t="n">
        <f aca="false">SUM(D9:F9)</f>
        <v>0</v>
      </c>
      <c r="I9" s="24" t="n">
        <f aca="false">SUM(D9:G9)</f>
        <v>0</v>
      </c>
      <c r="J9" s="25"/>
      <c r="K9" s="25"/>
    </row>
    <row r="10" customFormat="false" ht="48" hidden="false" customHeight="true" outlineLevel="0" collapsed="false">
      <c r="B10" s="22" t="s">
        <v>243</v>
      </c>
      <c r="C10" s="9" t="s">
        <v>244</v>
      </c>
      <c r="D10" s="23"/>
      <c r="E10" s="23"/>
      <c r="F10" s="23"/>
      <c r="G10" s="23"/>
      <c r="H10" s="24" t="n">
        <f aca="false">SUM(D10:F10)</f>
        <v>0</v>
      </c>
      <c r="I10" s="24" t="n">
        <f aca="false">SUM(D10:G10)</f>
        <v>0</v>
      </c>
      <c r="J10" s="25"/>
      <c r="K10" s="25"/>
    </row>
    <row r="11" customFormat="false" ht="48" hidden="false" customHeight="true" outlineLevel="0" collapsed="false">
      <c r="B11" s="26"/>
      <c r="C11" s="27" t="s">
        <v>245</v>
      </c>
      <c r="D11" s="28" t="n">
        <f aca="false">SUM(D7:D10)</f>
        <v>0</v>
      </c>
      <c r="E11" s="28" t="n">
        <f aca="false">SUM(E7:E10)</f>
        <v>0</v>
      </c>
      <c r="F11" s="28" t="n">
        <f aca="false">SUM(F7:F10)</f>
        <v>0</v>
      </c>
      <c r="G11" s="28" t="n">
        <f aca="false">SUM(G7:G10)</f>
        <v>0</v>
      </c>
      <c r="H11" s="28" t="n">
        <f aca="false">SUM(H7:H10)</f>
        <v>0</v>
      </c>
      <c r="I11" s="28" t="n">
        <f aca="false">SUM(I7:I10)</f>
        <v>0</v>
      </c>
      <c r="J11" s="26"/>
      <c r="K11" s="26"/>
    </row>
    <row r="12" customFormat="false" ht="27.75" hidden="false" customHeight="true" outlineLevel="0" collapsed="false">
      <c r="B12" s="20" t="s">
        <v>109</v>
      </c>
      <c r="C12" s="20" t="s">
        <v>246</v>
      </c>
      <c r="D12" s="21"/>
      <c r="E12" s="21"/>
      <c r="F12" s="21"/>
      <c r="G12" s="21"/>
      <c r="H12" s="21"/>
      <c r="I12" s="21"/>
      <c r="J12" s="21"/>
      <c r="K12" s="21"/>
    </row>
    <row r="13" customFormat="false" ht="30" hidden="false" customHeight="true" outlineLevel="0" collapsed="false">
      <c r="B13" s="22" t="s">
        <v>247</v>
      </c>
      <c r="C13" s="9" t="s">
        <v>248</v>
      </c>
      <c r="D13" s="23"/>
      <c r="E13" s="23"/>
      <c r="F13" s="23"/>
      <c r="G13" s="23"/>
      <c r="H13" s="24" t="n">
        <f aca="false">SUM(D13:F13)</f>
        <v>0</v>
      </c>
      <c r="I13" s="24" t="n">
        <f aca="false">SUM(D13:G13)</f>
        <v>0</v>
      </c>
      <c r="J13" s="25"/>
      <c r="K13" s="25"/>
    </row>
    <row r="14" customFormat="false" ht="48" hidden="false" customHeight="true" outlineLevel="0" collapsed="false">
      <c r="B14" s="22" t="s">
        <v>249</v>
      </c>
      <c r="C14" s="9" t="s">
        <v>250</v>
      </c>
      <c r="D14" s="23"/>
      <c r="E14" s="23"/>
      <c r="F14" s="23"/>
      <c r="G14" s="23"/>
      <c r="H14" s="24" t="n">
        <f aca="false">SUM(D14:F14)</f>
        <v>0</v>
      </c>
      <c r="I14" s="24" t="n">
        <f aca="false">SUM(D14:G14)</f>
        <v>0</v>
      </c>
      <c r="J14" s="25"/>
      <c r="K14" s="25"/>
    </row>
    <row r="15" customFormat="false" ht="48" hidden="false" customHeight="true" outlineLevel="0" collapsed="false">
      <c r="B15" s="26"/>
      <c r="C15" s="27" t="s">
        <v>251</v>
      </c>
      <c r="D15" s="28" t="n">
        <f aca="false">SUM(D13:D14)</f>
        <v>0</v>
      </c>
      <c r="E15" s="28" t="n">
        <f aca="false">SUM(E13:E14)</f>
        <v>0</v>
      </c>
      <c r="F15" s="28" t="n">
        <f aca="false">SUM(F13:F14)</f>
        <v>0</v>
      </c>
      <c r="G15" s="28" t="n">
        <f aca="false">SUM(G13:G14)</f>
        <v>0</v>
      </c>
      <c r="H15" s="28" t="n">
        <f aca="false">SUM(H13:H14)</f>
        <v>0</v>
      </c>
      <c r="I15" s="28" t="n">
        <f aca="false">SUM(I13:I14)</f>
        <v>0</v>
      </c>
      <c r="J15" s="26"/>
      <c r="K15" s="26"/>
    </row>
    <row r="16" customFormat="false" ht="27.75" hidden="false" customHeight="true" outlineLevel="0" collapsed="false">
      <c r="B16" s="20" t="s">
        <v>113</v>
      </c>
      <c r="C16" s="20" t="s">
        <v>252</v>
      </c>
      <c r="D16" s="21"/>
      <c r="E16" s="21"/>
      <c r="F16" s="21"/>
      <c r="G16" s="21"/>
      <c r="H16" s="21"/>
      <c r="I16" s="21"/>
      <c r="J16" s="21"/>
      <c r="K16" s="21"/>
    </row>
    <row r="17" customFormat="false" ht="30" hidden="false" customHeight="true" outlineLevel="0" collapsed="false">
      <c r="B17" s="22" t="s">
        <v>253</v>
      </c>
      <c r="C17" s="9" t="s">
        <v>254</v>
      </c>
      <c r="D17" s="23"/>
      <c r="E17" s="23"/>
      <c r="F17" s="23"/>
      <c r="G17" s="23"/>
      <c r="H17" s="24" t="n">
        <f aca="false">SUM(D17:F17)</f>
        <v>0</v>
      </c>
      <c r="I17" s="24" t="n">
        <f aca="false">SUM(D17:G17)</f>
        <v>0</v>
      </c>
      <c r="J17" s="25"/>
      <c r="K17" s="25"/>
    </row>
    <row r="18" customFormat="false" ht="30" hidden="false" customHeight="true" outlineLevel="0" collapsed="false">
      <c r="B18" s="22" t="s">
        <v>255</v>
      </c>
      <c r="C18" s="9" t="s">
        <v>256</v>
      </c>
      <c r="D18" s="23"/>
      <c r="E18" s="23"/>
      <c r="F18" s="23"/>
      <c r="G18" s="23"/>
      <c r="H18" s="24" t="n">
        <f aca="false">SUM(D18:F18)</f>
        <v>0</v>
      </c>
      <c r="I18" s="24" t="n">
        <f aca="false">SUM(D18:G18)</f>
        <v>0</v>
      </c>
      <c r="J18" s="25"/>
      <c r="K18" s="25"/>
    </row>
    <row r="19" customFormat="false" ht="48" hidden="false" customHeight="true" outlineLevel="0" collapsed="false">
      <c r="B19" s="26"/>
      <c r="C19" s="27" t="s">
        <v>257</v>
      </c>
      <c r="D19" s="28" t="n">
        <f aca="false">SUM(D17:D18)</f>
        <v>0</v>
      </c>
      <c r="E19" s="28" t="n">
        <f aca="false">SUM(E17:E18)</f>
        <v>0</v>
      </c>
      <c r="F19" s="28" t="n">
        <f aca="false">SUM(F17:F18)</f>
        <v>0</v>
      </c>
      <c r="G19" s="28" t="n">
        <f aca="false">SUM(G17:G18)</f>
        <v>0</v>
      </c>
      <c r="H19" s="28" t="n">
        <f aca="false">SUM(H17:H18)</f>
        <v>0</v>
      </c>
      <c r="I19" s="28" t="n">
        <f aca="false">SUM(I17:I18)</f>
        <v>0</v>
      </c>
      <c r="J19" s="26"/>
      <c r="K19" s="26"/>
    </row>
    <row r="20" customFormat="false" ht="27.75" hidden="false" customHeight="true" outlineLevel="0" collapsed="false">
      <c r="B20" s="20" t="s">
        <v>117</v>
      </c>
      <c r="C20" s="20" t="s">
        <v>258</v>
      </c>
      <c r="D20" s="21"/>
      <c r="E20" s="21"/>
      <c r="F20" s="21"/>
      <c r="G20" s="21"/>
      <c r="H20" s="21"/>
      <c r="I20" s="21"/>
      <c r="J20" s="21"/>
      <c r="K20" s="21"/>
    </row>
    <row r="21" customFormat="false" ht="30" hidden="false" customHeight="true" outlineLevel="0" collapsed="false">
      <c r="B21" s="22" t="s">
        <v>259</v>
      </c>
      <c r="C21" s="9" t="s">
        <v>260</v>
      </c>
      <c r="D21" s="23"/>
      <c r="E21" s="23"/>
      <c r="F21" s="23"/>
      <c r="G21" s="23"/>
      <c r="H21" s="24" t="n">
        <f aca="false">SUM(D21:F21)</f>
        <v>0</v>
      </c>
      <c r="I21" s="24" t="n">
        <f aca="false">SUM(D21:G21)</f>
        <v>0</v>
      </c>
      <c r="J21" s="25"/>
      <c r="K21" s="25"/>
    </row>
    <row r="22" customFormat="false" ht="30" hidden="false" customHeight="true" outlineLevel="0" collapsed="false">
      <c r="B22" s="22" t="s">
        <v>261</v>
      </c>
      <c r="C22" s="9" t="s">
        <v>262</v>
      </c>
      <c r="D22" s="23"/>
      <c r="E22" s="23"/>
      <c r="F22" s="23"/>
      <c r="G22" s="23"/>
      <c r="H22" s="24" t="n">
        <f aca="false">SUM(D22:F22)</f>
        <v>0</v>
      </c>
      <c r="I22" s="24" t="n">
        <f aca="false">SUM(D22:G22)</f>
        <v>0</v>
      </c>
      <c r="J22" s="25"/>
      <c r="K22" s="25"/>
    </row>
    <row r="23" customFormat="false" ht="30" hidden="false" customHeight="true" outlineLevel="0" collapsed="false">
      <c r="B23" s="22" t="s">
        <v>263</v>
      </c>
      <c r="C23" s="9" t="s">
        <v>264</v>
      </c>
      <c r="D23" s="23"/>
      <c r="E23" s="23"/>
      <c r="F23" s="23"/>
      <c r="G23" s="23"/>
      <c r="H23" s="24" t="n">
        <f aca="false">SUM(D23:F23)</f>
        <v>0</v>
      </c>
      <c r="I23" s="24" t="n">
        <f aca="false">SUM(D23:G23)</f>
        <v>0</v>
      </c>
      <c r="J23" s="25"/>
      <c r="K23" s="25"/>
    </row>
    <row r="24" customFormat="false" ht="48" hidden="false" customHeight="true" outlineLevel="0" collapsed="false">
      <c r="B24" s="26"/>
      <c r="C24" s="27" t="s">
        <v>265</v>
      </c>
      <c r="D24" s="28" t="n">
        <f aca="false">SUM(D21:D23)</f>
        <v>0</v>
      </c>
      <c r="E24" s="28" t="n">
        <f aca="false">SUM(E21:E23)</f>
        <v>0</v>
      </c>
      <c r="F24" s="28" t="n">
        <f aca="false">SUM(F21:F23)</f>
        <v>0</v>
      </c>
      <c r="G24" s="28" t="n">
        <f aca="false">SUM(G21:G23)</f>
        <v>0</v>
      </c>
      <c r="H24" s="28" t="n">
        <f aca="false">SUM(H21:H23)</f>
        <v>0</v>
      </c>
      <c r="I24" s="28" t="n">
        <f aca="false">SUM(I21:I23)</f>
        <v>0</v>
      </c>
      <c r="J24" s="26"/>
      <c r="K24" s="26"/>
    </row>
    <row r="25" customFormat="false" ht="27.75" hidden="false" customHeight="true" outlineLevel="0" collapsed="false">
      <c r="B25" s="20" t="s">
        <v>121</v>
      </c>
      <c r="C25" s="20" t="s">
        <v>266</v>
      </c>
      <c r="D25" s="21"/>
      <c r="E25" s="21"/>
      <c r="F25" s="21"/>
      <c r="G25" s="21"/>
      <c r="H25" s="21"/>
      <c r="I25" s="21"/>
      <c r="J25" s="21"/>
      <c r="K25" s="21"/>
    </row>
    <row r="26" customFormat="false" ht="30" hidden="false" customHeight="true" outlineLevel="0" collapsed="false">
      <c r="B26" s="22" t="s">
        <v>267</v>
      </c>
      <c r="C26" s="9" t="s">
        <v>268</v>
      </c>
      <c r="D26" s="23"/>
      <c r="E26" s="23"/>
      <c r="F26" s="23"/>
      <c r="G26" s="23"/>
      <c r="H26" s="24" t="n">
        <f aca="false">SUM(D26:F26)</f>
        <v>0</v>
      </c>
      <c r="I26" s="24" t="n">
        <f aca="false">SUM(D26:G26)</f>
        <v>0</v>
      </c>
      <c r="J26" s="25"/>
      <c r="K26" s="25"/>
    </row>
    <row r="27" customFormat="false" ht="30" hidden="false" customHeight="true" outlineLevel="0" collapsed="false">
      <c r="B27" s="22" t="s">
        <v>269</v>
      </c>
      <c r="C27" s="9" t="s">
        <v>270</v>
      </c>
      <c r="D27" s="23"/>
      <c r="E27" s="23"/>
      <c r="F27" s="23"/>
      <c r="G27" s="23"/>
      <c r="H27" s="24" t="n">
        <f aca="false">SUM(D27:F27)</f>
        <v>0</v>
      </c>
      <c r="I27" s="24" t="n">
        <f aca="false">SUM(D27:G27)</f>
        <v>0</v>
      </c>
      <c r="J27" s="25"/>
      <c r="K27" s="25"/>
    </row>
    <row r="28" customFormat="false" ht="48" hidden="false" customHeight="true" outlineLevel="0" collapsed="false">
      <c r="B28" s="26"/>
      <c r="C28" s="27" t="s">
        <v>271</v>
      </c>
      <c r="D28" s="28" t="n">
        <f aca="false">SUM(D26:D27)</f>
        <v>0</v>
      </c>
      <c r="E28" s="28" t="n">
        <f aca="false">SUM(E26:E27)</f>
        <v>0</v>
      </c>
      <c r="F28" s="28" t="n">
        <f aca="false">SUM(F26:F27)</f>
        <v>0</v>
      </c>
      <c r="G28" s="28" t="n">
        <f aca="false">SUM(G26:G27)</f>
        <v>0</v>
      </c>
      <c r="H28" s="28" t="n">
        <f aca="false">SUM(H26:H27)</f>
        <v>0</v>
      </c>
      <c r="I28" s="28" t="n">
        <f aca="false">SUM(I26:I27)</f>
        <v>0</v>
      </c>
      <c r="J28" s="26"/>
      <c r="K28" s="26"/>
    </row>
    <row r="29" customFormat="false" ht="72.75" hidden="false" customHeight="true" outlineLevel="0" collapsed="false">
      <c r="B29" s="29" t="s">
        <v>272</v>
      </c>
      <c r="C29" s="30" t="s">
        <v>273</v>
      </c>
      <c r="D29" s="31" t="n">
        <f aca="false">D11+D15+D19+D24+D28</f>
        <v>0</v>
      </c>
      <c r="E29" s="31" t="n">
        <f aca="false">E11+E15+E19+E24+E28</f>
        <v>0</v>
      </c>
      <c r="F29" s="31" t="n">
        <f aca="false">F11+F15+F19+F24+F28</f>
        <v>0</v>
      </c>
      <c r="G29" s="31" t="n">
        <f aca="false">G11+G15+G19+G24+G28</f>
        <v>0</v>
      </c>
      <c r="H29" s="31" t="n">
        <f aca="false">H11+H15+H19+H24+H28</f>
        <v>0</v>
      </c>
      <c r="I29" s="31" t="n">
        <f aca="false">I11+I15+I19+I24+I28</f>
        <v>0</v>
      </c>
      <c r="J29" s="32"/>
      <c r="K29" s="32"/>
    </row>
    <row r="31" customFormat="false" ht="45" hidden="false" customHeight="true" outlineLevel="0" collapsed="false">
      <c r="B31" s="33" t="s">
        <v>274</v>
      </c>
      <c r="C31" s="33"/>
      <c r="D31" s="33"/>
      <c r="E31" s="33"/>
      <c r="F31" s="33"/>
      <c r="G31" s="33"/>
      <c r="H31" s="33"/>
      <c r="I31" s="33"/>
      <c r="J31" s="33"/>
      <c r="K31" s="33"/>
    </row>
  </sheetData>
  <mergeCells count="3">
    <mergeCell ref="B2:K2"/>
    <mergeCell ref="B3:K3"/>
    <mergeCell ref="B31:K31"/>
  </mergeCells>
  <dataValidations count="1">
    <dataValidation allowBlank="false" error="Enter a non-negative amount in INR Lakhs." errorStyle="stop" errorTitle="Invalid entry" operator="greaterThanOrEqual" showDropDown="false" showErrorMessage="true" showInputMessage="false" sqref="D7:G10 D13:G14 D17:G18 D21:G23 D26:G27"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K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7"/>
    <col collapsed="false" customWidth="true" hidden="false" outlineLevel="0" max="9" min="8" style="0" width="20"/>
    <col collapsed="false" customWidth="true" hidden="false" outlineLevel="0" max="11" min="10" style="0" width="34"/>
  </cols>
  <sheetData>
    <row r="2" customFormat="false" ht="43.5" hidden="false" customHeight="true" outlineLevel="0" collapsed="false">
      <c r="B2" s="18" t="s">
        <v>275</v>
      </c>
      <c r="C2" s="18"/>
      <c r="D2" s="18"/>
      <c r="E2" s="18"/>
      <c r="F2" s="18"/>
      <c r="G2" s="18"/>
      <c r="H2" s="18"/>
      <c r="I2" s="18"/>
      <c r="J2" s="18"/>
      <c r="K2" s="18"/>
    </row>
    <row r="3" customFormat="false" ht="48" hidden="false" customHeight="true" outlineLevel="0" collapsed="false">
      <c r="B3" s="19" t="s">
        <v>276</v>
      </c>
      <c r="C3" s="19"/>
      <c r="D3" s="19"/>
      <c r="E3" s="19"/>
      <c r="F3" s="19"/>
      <c r="G3" s="19"/>
      <c r="H3" s="19"/>
      <c r="I3" s="19"/>
      <c r="J3" s="19"/>
      <c r="K3" s="19"/>
    </row>
    <row r="5" customFormat="false" ht="60" hidden="false" customHeight="true" outlineLevel="0" collapsed="false">
      <c r="B5" s="8" t="s">
        <v>101</v>
      </c>
      <c r="C5" s="8" t="s">
        <v>227</v>
      </c>
      <c r="D5" s="8" t="s">
        <v>228</v>
      </c>
      <c r="E5" s="8" t="s">
        <v>229</v>
      </c>
      <c r="F5" s="8" t="s">
        <v>230</v>
      </c>
      <c r="G5" s="8" t="s">
        <v>231</v>
      </c>
      <c r="H5" s="8" t="s">
        <v>232</v>
      </c>
      <c r="I5" s="8" t="s">
        <v>233</v>
      </c>
      <c r="J5" s="8" t="s">
        <v>234</v>
      </c>
      <c r="K5" s="8" t="s">
        <v>235</v>
      </c>
    </row>
    <row r="6" customFormat="false" ht="27.75" hidden="false" customHeight="true" outlineLevel="0" collapsed="false">
      <c r="B6" s="20" t="s">
        <v>65</v>
      </c>
      <c r="C6" s="20" t="s">
        <v>277</v>
      </c>
      <c r="D6" s="21"/>
      <c r="E6" s="21"/>
      <c r="F6" s="21"/>
      <c r="G6" s="21"/>
      <c r="H6" s="21"/>
      <c r="I6" s="21"/>
      <c r="J6" s="21"/>
      <c r="K6" s="21"/>
    </row>
    <row r="7" customFormat="false" ht="48" hidden="false" customHeight="true" outlineLevel="0" collapsed="false">
      <c r="B7" s="22" t="s">
        <v>278</v>
      </c>
      <c r="C7" s="9" t="s">
        <v>279</v>
      </c>
      <c r="D7" s="23"/>
      <c r="E7" s="23"/>
      <c r="F7" s="23"/>
      <c r="G7" s="23"/>
      <c r="H7" s="24" t="n">
        <f aca="false">SUM(D7:F7)</f>
        <v>0</v>
      </c>
      <c r="I7" s="24" t="n">
        <f aca="false">SUM(D7:G7)</f>
        <v>0</v>
      </c>
      <c r="J7" s="25"/>
      <c r="K7" s="25"/>
    </row>
    <row r="8" customFormat="false" ht="30" hidden="false" customHeight="true" outlineLevel="0" collapsed="false">
      <c r="B8" s="22" t="s">
        <v>280</v>
      </c>
      <c r="C8" s="9" t="s">
        <v>281</v>
      </c>
      <c r="D8" s="23"/>
      <c r="E8" s="23"/>
      <c r="F8" s="23"/>
      <c r="G8" s="23"/>
      <c r="H8" s="24" t="n">
        <f aca="false">SUM(D8:F8)</f>
        <v>0</v>
      </c>
      <c r="I8" s="24" t="n">
        <f aca="false">SUM(D8:G8)</f>
        <v>0</v>
      </c>
      <c r="J8" s="25"/>
      <c r="K8" s="25"/>
    </row>
    <row r="9" customFormat="false" ht="30" hidden="false" customHeight="true" outlineLevel="0" collapsed="false">
      <c r="B9" s="26"/>
      <c r="C9" s="27" t="s">
        <v>282</v>
      </c>
      <c r="D9" s="28" t="n">
        <f aca="false">SUM(D7:D8)</f>
        <v>0</v>
      </c>
      <c r="E9" s="28" t="n">
        <f aca="false">SUM(E7:E8)</f>
        <v>0</v>
      </c>
      <c r="F9" s="28" t="n">
        <f aca="false">SUM(F7:F8)</f>
        <v>0</v>
      </c>
      <c r="G9" s="28" t="n">
        <f aca="false">SUM(G7:G8)</f>
        <v>0</v>
      </c>
      <c r="H9" s="28" t="n">
        <f aca="false">SUM(H7:H8)</f>
        <v>0</v>
      </c>
      <c r="I9" s="28" t="n">
        <f aca="false">SUM(I7:I8)</f>
        <v>0</v>
      </c>
      <c r="J9" s="26"/>
      <c r="K9" s="26"/>
    </row>
    <row r="10" customFormat="false" ht="27.75" hidden="false" customHeight="true" outlineLevel="0" collapsed="false">
      <c r="B10" s="20" t="s">
        <v>69</v>
      </c>
      <c r="C10" s="20" t="s">
        <v>283</v>
      </c>
      <c r="D10" s="21"/>
      <c r="E10" s="21"/>
      <c r="F10" s="21"/>
      <c r="G10" s="21"/>
      <c r="H10" s="21"/>
      <c r="I10" s="21"/>
      <c r="J10" s="21"/>
      <c r="K10" s="21"/>
    </row>
    <row r="11" customFormat="false" ht="30" hidden="false" customHeight="true" outlineLevel="0" collapsed="false">
      <c r="B11" s="22" t="s">
        <v>284</v>
      </c>
      <c r="C11" s="9" t="s">
        <v>285</v>
      </c>
      <c r="D11" s="23"/>
      <c r="E11" s="23"/>
      <c r="F11" s="23"/>
      <c r="G11" s="23"/>
      <c r="H11" s="24" t="n">
        <f aca="false">SUM(D11:F11)</f>
        <v>0</v>
      </c>
      <c r="I11" s="24" t="n">
        <f aca="false">SUM(D11:G11)</f>
        <v>0</v>
      </c>
      <c r="J11" s="25"/>
      <c r="K11" s="25"/>
    </row>
    <row r="12" customFormat="false" ht="30" hidden="false" customHeight="true" outlineLevel="0" collapsed="false">
      <c r="B12" s="22" t="s">
        <v>286</v>
      </c>
      <c r="C12" s="9" t="s">
        <v>287</v>
      </c>
      <c r="D12" s="23"/>
      <c r="E12" s="23"/>
      <c r="F12" s="23"/>
      <c r="G12" s="23"/>
      <c r="H12" s="24" t="n">
        <f aca="false">SUM(D12:F12)</f>
        <v>0</v>
      </c>
      <c r="I12" s="24" t="n">
        <f aca="false">SUM(D12:G12)</f>
        <v>0</v>
      </c>
      <c r="J12" s="25"/>
      <c r="K12" s="25"/>
    </row>
    <row r="13" customFormat="false" ht="30" hidden="false" customHeight="true" outlineLevel="0" collapsed="false">
      <c r="B13" s="22" t="s">
        <v>288</v>
      </c>
      <c r="C13" s="9" t="s">
        <v>289</v>
      </c>
      <c r="D13" s="23"/>
      <c r="E13" s="23"/>
      <c r="F13" s="23"/>
      <c r="G13" s="23"/>
      <c r="H13" s="24" t="n">
        <f aca="false">SUM(D13:F13)</f>
        <v>0</v>
      </c>
      <c r="I13" s="24" t="n">
        <f aca="false">SUM(D13:G13)</f>
        <v>0</v>
      </c>
      <c r="J13" s="25"/>
      <c r="K13" s="25"/>
    </row>
    <row r="14" customFormat="false" ht="30" hidden="false" customHeight="true" outlineLevel="0" collapsed="false">
      <c r="B14" s="22" t="s">
        <v>290</v>
      </c>
      <c r="C14" s="9" t="s">
        <v>291</v>
      </c>
      <c r="D14" s="23"/>
      <c r="E14" s="23"/>
      <c r="F14" s="23"/>
      <c r="G14" s="23"/>
      <c r="H14" s="24" t="n">
        <f aca="false">SUM(D14:F14)</f>
        <v>0</v>
      </c>
      <c r="I14" s="24" t="n">
        <f aca="false">SUM(D14:G14)</f>
        <v>0</v>
      </c>
      <c r="J14" s="25"/>
      <c r="K14" s="25"/>
    </row>
    <row r="15" customFormat="false" ht="48" hidden="false" customHeight="true" outlineLevel="0" collapsed="false">
      <c r="B15" s="26"/>
      <c r="C15" s="27" t="s">
        <v>292</v>
      </c>
      <c r="D15" s="28" t="n">
        <f aca="false">SUM(D11:D14)</f>
        <v>0</v>
      </c>
      <c r="E15" s="28" t="n">
        <f aca="false">SUM(E11:E14)</f>
        <v>0</v>
      </c>
      <c r="F15" s="28" t="n">
        <f aca="false">SUM(F11:F14)</f>
        <v>0</v>
      </c>
      <c r="G15" s="28" t="n">
        <f aca="false">SUM(G11:G14)</f>
        <v>0</v>
      </c>
      <c r="H15" s="28" t="n">
        <f aca="false">SUM(H11:H14)</f>
        <v>0</v>
      </c>
      <c r="I15" s="28" t="n">
        <f aca="false">SUM(I11:I14)</f>
        <v>0</v>
      </c>
      <c r="J15" s="26"/>
      <c r="K15" s="26"/>
    </row>
    <row r="16" customFormat="false" ht="27.75" hidden="false" customHeight="true" outlineLevel="0" collapsed="false">
      <c r="B16" s="20" t="s">
        <v>73</v>
      </c>
      <c r="C16" s="20" t="s">
        <v>132</v>
      </c>
      <c r="D16" s="21"/>
      <c r="E16" s="21"/>
      <c r="F16" s="21"/>
      <c r="G16" s="21"/>
      <c r="H16" s="21"/>
      <c r="I16" s="21"/>
      <c r="J16" s="21"/>
      <c r="K16" s="21"/>
    </row>
    <row r="17" customFormat="false" ht="30" hidden="false" customHeight="true" outlineLevel="0" collapsed="false">
      <c r="B17" s="22" t="s">
        <v>293</v>
      </c>
      <c r="C17" s="9" t="s">
        <v>294</v>
      </c>
      <c r="D17" s="23"/>
      <c r="E17" s="23"/>
      <c r="F17" s="23"/>
      <c r="G17" s="23"/>
      <c r="H17" s="24" t="n">
        <f aca="false">SUM(D17:F17)</f>
        <v>0</v>
      </c>
      <c r="I17" s="24" t="n">
        <f aca="false">SUM(D17:G17)</f>
        <v>0</v>
      </c>
      <c r="J17" s="25"/>
      <c r="K17" s="25"/>
    </row>
    <row r="18" customFormat="false" ht="30" hidden="false" customHeight="true" outlineLevel="0" collapsed="false">
      <c r="B18" s="22" t="s">
        <v>295</v>
      </c>
      <c r="C18" s="9" t="s">
        <v>296</v>
      </c>
      <c r="D18" s="23"/>
      <c r="E18" s="23"/>
      <c r="F18" s="23"/>
      <c r="G18" s="23"/>
      <c r="H18" s="24" t="n">
        <f aca="false">SUM(D18:F18)</f>
        <v>0</v>
      </c>
      <c r="I18" s="24" t="n">
        <f aca="false">SUM(D18:G18)</f>
        <v>0</v>
      </c>
      <c r="J18" s="25"/>
      <c r="K18" s="25"/>
    </row>
    <row r="19" customFormat="false" ht="30" hidden="false" customHeight="true" outlineLevel="0" collapsed="false">
      <c r="B19" s="26"/>
      <c r="C19" s="27" t="s">
        <v>297</v>
      </c>
      <c r="D19" s="28" t="n">
        <f aca="false">SUM(D17:D18)</f>
        <v>0</v>
      </c>
      <c r="E19" s="28" t="n">
        <f aca="false">SUM(E17:E18)</f>
        <v>0</v>
      </c>
      <c r="F19" s="28" t="n">
        <f aca="false">SUM(F17:F18)</f>
        <v>0</v>
      </c>
      <c r="G19" s="28" t="n">
        <f aca="false">SUM(G17:G18)</f>
        <v>0</v>
      </c>
      <c r="H19" s="28" t="n">
        <f aca="false">SUM(H17:H18)</f>
        <v>0</v>
      </c>
      <c r="I19" s="28" t="n">
        <f aca="false">SUM(I17:I18)</f>
        <v>0</v>
      </c>
      <c r="J19" s="26"/>
      <c r="K19" s="26"/>
    </row>
    <row r="20" customFormat="false" ht="27.75" hidden="false" customHeight="true" outlineLevel="0" collapsed="false">
      <c r="B20" s="20" t="s">
        <v>76</v>
      </c>
      <c r="C20" s="20" t="s">
        <v>298</v>
      </c>
      <c r="D20" s="21"/>
      <c r="E20" s="21"/>
      <c r="F20" s="21"/>
      <c r="G20" s="21"/>
      <c r="H20" s="21"/>
      <c r="I20" s="21"/>
      <c r="J20" s="21"/>
      <c r="K20" s="21"/>
    </row>
    <row r="21" customFormat="false" ht="30" hidden="false" customHeight="true" outlineLevel="0" collapsed="false">
      <c r="B21" s="22" t="s">
        <v>299</v>
      </c>
      <c r="C21" s="9" t="s">
        <v>300</v>
      </c>
      <c r="D21" s="23"/>
      <c r="E21" s="23"/>
      <c r="F21" s="23"/>
      <c r="G21" s="23"/>
      <c r="H21" s="24" t="n">
        <f aca="false">SUM(D21:F21)</f>
        <v>0</v>
      </c>
      <c r="I21" s="24" t="n">
        <f aca="false">SUM(D21:G21)</f>
        <v>0</v>
      </c>
      <c r="J21" s="25"/>
      <c r="K21" s="25"/>
    </row>
    <row r="22" customFormat="false" ht="30" hidden="false" customHeight="true" outlineLevel="0" collapsed="false">
      <c r="B22" s="22" t="s">
        <v>301</v>
      </c>
      <c r="C22" s="9" t="s">
        <v>302</v>
      </c>
      <c r="D22" s="23"/>
      <c r="E22" s="23"/>
      <c r="F22" s="23"/>
      <c r="G22" s="23"/>
      <c r="H22" s="24" t="n">
        <f aca="false">SUM(D22:F22)</f>
        <v>0</v>
      </c>
      <c r="I22" s="24" t="n">
        <f aca="false">SUM(D22:G22)</f>
        <v>0</v>
      </c>
      <c r="J22" s="25"/>
      <c r="K22" s="25"/>
    </row>
    <row r="23" customFormat="false" ht="30" hidden="false" customHeight="true" outlineLevel="0" collapsed="false">
      <c r="B23" s="22" t="s">
        <v>303</v>
      </c>
      <c r="C23" s="9" t="s">
        <v>304</v>
      </c>
      <c r="D23" s="23"/>
      <c r="E23" s="23"/>
      <c r="F23" s="23"/>
      <c r="G23" s="23"/>
      <c r="H23" s="24" t="n">
        <f aca="false">SUM(D23:F23)</f>
        <v>0</v>
      </c>
      <c r="I23" s="24" t="n">
        <f aca="false">SUM(D23:G23)</f>
        <v>0</v>
      </c>
      <c r="J23" s="25"/>
      <c r="K23" s="25"/>
    </row>
    <row r="24" customFormat="false" ht="30" hidden="false" customHeight="true" outlineLevel="0" collapsed="false">
      <c r="B24" s="22" t="s">
        <v>305</v>
      </c>
      <c r="C24" s="9" t="s">
        <v>306</v>
      </c>
      <c r="D24" s="23"/>
      <c r="E24" s="23"/>
      <c r="F24" s="23"/>
      <c r="G24" s="23"/>
      <c r="H24" s="24" t="n">
        <f aca="false">SUM(D24:F24)</f>
        <v>0</v>
      </c>
      <c r="I24" s="24" t="n">
        <f aca="false">SUM(D24:G24)</f>
        <v>0</v>
      </c>
      <c r="J24" s="25"/>
      <c r="K24" s="25"/>
    </row>
    <row r="25" customFormat="false" ht="30" hidden="false" customHeight="true" outlineLevel="0" collapsed="false">
      <c r="B25" s="26"/>
      <c r="C25" s="27" t="s">
        <v>307</v>
      </c>
      <c r="D25" s="28" t="n">
        <f aca="false">SUM(D21:D24)</f>
        <v>0</v>
      </c>
      <c r="E25" s="28" t="n">
        <f aca="false">SUM(E21:E24)</f>
        <v>0</v>
      </c>
      <c r="F25" s="28" t="n">
        <f aca="false">SUM(F21:F24)</f>
        <v>0</v>
      </c>
      <c r="G25" s="28" t="n">
        <f aca="false">SUM(G21:G24)</f>
        <v>0</v>
      </c>
      <c r="H25" s="28" t="n">
        <f aca="false">SUM(H21:H24)</f>
        <v>0</v>
      </c>
      <c r="I25" s="28" t="n">
        <f aca="false">SUM(I21:I24)</f>
        <v>0</v>
      </c>
      <c r="J25" s="26"/>
      <c r="K25" s="26"/>
    </row>
    <row r="26" customFormat="false" ht="27.75" hidden="false" customHeight="true" outlineLevel="0" collapsed="false">
      <c r="B26" s="20" t="s">
        <v>79</v>
      </c>
      <c r="C26" s="20" t="s">
        <v>138</v>
      </c>
      <c r="D26" s="21"/>
      <c r="E26" s="21"/>
      <c r="F26" s="21"/>
      <c r="G26" s="21"/>
      <c r="H26" s="21"/>
      <c r="I26" s="21"/>
      <c r="J26" s="21"/>
      <c r="K26" s="21"/>
    </row>
    <row r="27" customFormat="false" ht="30" hidden="false" customHeight="true" outlineLevel="0" collapsed="false">
      <c r="B27" s="22" t="s">
        <v>308</v>
      </c>
      <c r="C27" s="9" t="s">
        <v>309</v>
      </c>
      <c r="D27" s="23"/>
      <c r="E27" s="23"/>
      <c r="F27" s="23"/>
      <c r="G27" s="23"/>
      <c r="H27" s="24" t="n">
        <f aca="false">SUM(D27:F27)</f>
        <v>0</v>
      </c>
      <c r="I27" s="24" t="n">
        <f aca="false">SUM(D27:G27)</f>
        <v>0</v>
      </c>
      <c r="J27" s="25"/>
      <c r="K27" s="25"/>
    </row>
    <row r="28" customFormat="false" ht="30" hidden="false" customHeight="true" outlineLevel="0" collapsed="false">
      <c r="B28" s="26"/>
      <c r="C28" s="27" t="s">
        <v>310</v>
      </c>
      <c r="D28" s="28" t="n">
        <f aca="false">SUM(D27:D27)</f>
        <v>0</v>
      </c>
      <c r="E28" s="28" t="n">
        <f aca="false">SUM(E27:E27)</f>
        <v>0</v>
      </c>
      <c r="F28" s="28" t="n">
        <f aca="false">SUM(F27:F27)</f>
        <v>0</v>
      </c>
      <c r="G28" s="28" t="n">
        <f aca="false">SUM(G27:G27)</f>
        <v>0</v>
      </c>
      <c r="H28" s="28" t="n">
        <f aca="false">SUM(H27:H27)</f>
        <v>0</v>
      </c>
      <c r="I28" s="28" t="n">
        <f aca="false">SUM(I27:I27)</f>
        <v>0</v>
      </c>
      <c r="J28" s="26"/>
      <c r="K28" s="26"/>
    </row>
    <row r="29" customFormat="false" ht="27.75" hidden="false" customHeight="true" outlineLevel="0" collapsed="false">
      <c r="B29" s="20" t="s">
        <v>82</v>
      </c>
      <c r="C29" s="20" t="s">
        <v>141</v>
      </c>
      <c r="D29" s="21"/>
      <c r="E29" s="21"/>
      <c r="F29" s="21"/>
      <c r="G29" s="21"/>
      <c r="H29" s="21"/>
      <c r="I29" s="21"/>
      <c r="J29" s="21"/>
      <c r="K29" s="21"/>
    </row>
    <row r="30" customFormat="false" ht="30" hidden="false" customHeight="true" outlineLevel="0" collapsed="false">
      <c r="B30" s="22" t="s">
        <v>311</v>
      </c>
      <c r="C30" s="9" t="s">
        <v>312</v>
      </c>
      <c r="D30" s="23"/>
      <c r="E30" s="23"/>
      <c r="F30" s="23"/>
      <c r="G30" s="23"/>
      <c r="H30" s="24" t="n">
        <f aca="false">SUM(D30:F30)</f>
        <v>0</v>
      </c>
      <c r="I30" s="24" t="n">
        <f aca="false">SUM(D30:G30)</f>
        <v>0</v>
      </c>
      <c r="J30" s="25"/>
      <c r="K30" s="25"/>
    </row>
    <row r="31" customFormat="false" ht="30" hidden="false" customHeight="true" outlineLevel="0" collapsed="false">
      <c r="B31" s="22" t="s">
        <v>313</v>
      </c>
      <c r="C31" s="9" t="s">
        <v>314</v>
      </c>
      <c r="D31" s="23"/>
      <c r="E31" s="23"/>
      <c r="F31" s="23"/>
      <c r="G31" s="23"/>
      <c r="H31" s="24" t="n">
        <f aca="false">SUM(D31:F31)</f>
        <v>0</v>
      </c>
      <c r="I31" s="24" t="n">
        <f aca="false">SUM(D31:G31)</f>
        <v>0</v>
      </c>
      <c r="J31" s="25"/>
      <c r="K31" s="25"/>
    </row>
    <row r="32" customFormat="false" ht="48" hidden="false" customHeight="true" outlineLevel="0" collapsed="false">
      <c r="B32" s="22" t="s">
        <v>315</v>
      </c>
      <c r="C32" s="9" t="s">
        <v>316</v>
      </c>
      <c r="D32" s="23"/>
      <c r="E32" s="23"/>
      <c r="F32" s="23"/>
      <c r="G32" s="23"/>
      <c r="H32" s="24" t="n">
        <f aca="false">SUM(D32:F32)</f>
        <v>0</v>
      </c>
      <c r="I32" s="24" t="n">
        <f aca="false">SUM(D32:G32)</f>
        <v>0</v>
      </c>
      <c r="J32" s="25"/>
      <c r="K32" s="25"/>
    </row>
    <row r="33" customFormat="false" ht="30" hidden="false" customHeight="true" outlineLevel="0" collapsed="false">
      <c r="B33" s="22" t="s">
        <v>317</v>
      </c>
      <c r="C33" s="9" t="s">
        <v>318</v>
      </c>
      <c r="D33" s="23"/>
      <c r="E33" s="23"/>
      <c r="F33" s="23"/>
      <c r="G33" s="23"/>
      <c r="H33" s="24" t="n">
        <f aca="false">SUM(D33:F33)</f>
        <v>0</v>
      </c>
      <c r="I33" s="24" t="n">
        <f aca="false">SUM(D33:G33)</f>
        <v>0</v>
      </c>
      <c r="J33" s="25"/>
      <c r="K33" s="25"/>
    </row>
    <row r="34" customFormat="false" ht="30" hidden="false" customHeight="true" outlineLevel="0" collapsed="false">
      <c r="B34" s="26"/>
      <c r="C34" s="27" t="s">
        <v>319</v>
      </c>
      <c r="D34" s="28" t="n">
        <f aca="false">SUM(D30:D33)</f>
        <v>0</v>
      </c>
      <c r="E34" s="28" t="n">
        <f aca="false">SUM(E30:E33)</f>
        <v>0</v>
      </c>
      <c r="F34" s="28" t="n">
        <f aca="false">SUM(F30:F33)</f>
        <v>0</v>
      </c>
      <c r="G34" s="28" t="n">
        <f aca="false">SUM(G30:G33)</f>
        <v>0</v>
      </c>
      <c r="H34" s="28" t="n">
        <f aca="false">SUM(H30:H33)</f>
        <v>0</v>
      </c>
      <c r="I34" s="28" t="n">
        <f aca="false">SUM(I30:I33)</f>
        <v>0</v>
      </c>
      <c r="J34" s="26"/>
      <c r="K34" s="26"/>
    </row>
    <row r="35" customFormat="false" ht="27.75" hidden="false" customHeight="true" outlineLevel="0" collapsed="false">
      <c r="B35" s="20" t="s">
        <v>85</v>
      </c>
      <c r="C35" s="20" t="s">
        <v>320</v>
      </c>
      <c r="D35" s="21"/>
      <c r="E35" s="21"/>
      <c r="F35" s="21"/>
      <c r="G35" s="21"/>
      <c r="H35" s="21"/>
      <c r="I35" s="21"/>
      <c r="J35" s="21"/>
      <c r="K35" s="21"/>
    </row>
    <row r="36" customFormat="false" ht="30" hidden="false" customHeight="true" outlineLevel="0" collapsed="false">
      <c r="B36" s="22" t="s">
        <v>321</v>
      </c>
      <c r="C36" s="9" t="s">
        <v>322</v>
      </c>
      <c r="D36" s="23"/>
      <c r="E36" s="23"/>
      <c r="F36" s="23"/>
      <c r="G36" s="23"/>
      <c r="H36" s="24" t="n">
        <f aca="false">SUM(D36:F36)</f>
        <v>0</v>
      </c>
      <c r="I36" s="24" t="n">
        <f aca="false">SUM(D36:G36)</f>
        <v>0</v>
      </c>
      <c r="J36" s="25"/>
      <c r="K36" s="25"/>
    </row>
    <row r="37" customFormat="false" ht="30" hidden="false" customHeight="true" outlineLevel="0" collapsed="false">
      <c r="B37" s="26"/>
      <c r="C37" s="27" t="s">
        <v>323</v>
      </c>
      <c r="D37" s="28" t="n">
        <f aca="false">SUM(D36:D36)</f>
        <v>0</v>
      </c>
      <c r="E37" s="28" t="n">
        <f aca="false">SUM(E36:E36)</f>
        <v>0</v>
      </c>
      <c r="F37" s="28" t="n">
        <f aca="false">SUM(F36:F36)</f>
        <v>0</v>
      </c>
      <c r="G37" s="28" t="n">
        <f aca="false">SUM(G36:G36)</f>
        <v>0</v>
      </c>
      <c r="H37" s="28" t="n">
        <f aca="false">SUM(H36:H36)</f>
        <v>0</v>
      </c>
      <c r="I37" s="28" t="n">
        <f aca="false">SUM(I36:I36)</f>
        <v>0</v>
      </c>
      <c r="J37" s="26"/>
      <c r="K37" s="26"/>
    </row>
    <row r="38" customFormat="false" ht="48" hidden="false" customHeight="true" outlineLevel="0" collapsed="false">
      <c r="B38" s="20" t="s">
        <v>89</v>
      </c>
      <c r="C38" s="20" t="s">
        <v>324</v>
      </c>
      <c r="D38" s="21"/>
      <c r="E38" s="21"/>
      <c r="F38" s="21"/>
      <c r="G38" s="21"/>
      <c r="H38" s="21"/>
      <c r="I38" s="21"/>
      <c r="J38" s="21"/>
      <c r="K38" s="21"/>
    </row>
    <row r="39" customFormat="false" ht="30" hidden="false" customHeight="true" outlineLevel="0" collapsed="false">
      <c r="B39" s="22" t="s">
        <v>325</v>
      </c>
      <c r="C39" s="9" t="s">
        <v>326</v>
      </c>
      <c r="D39" s="23"/>
      <c r="E39" s="23"/>
      <c r="F39" s="23"/>
      <c r="G39" s="23"/>
      <c r="H39" s="24" t="n">
        <f aca="false">SUM(D39:F39)</f>
        <v>0</v>
      </c>
      <c r="I39" s="24" t="n">
        <f aca="false">SUM(D39:G39)</f>
        <v>0</v>
      </c>
      <c r="J39" s="25"/>
      <c r="K39" s="25"/>
    </row>
    <row r="40" customFormat="false" ht="48" hidden="false" customHeight="true" outlineLevel="0" collapsed="false">
      <c r="B40" s="26"/>
      <c r="C40" s="27" t="s">
        <v>327</v>
      </c>
      <c r="D40" s="28" t="n">
        <f aca="false">SUM(D39:D39)</f>
        <v>0</v>
      </c>
      <c r="E40" s="28" t="n">
        <f aca="false">SUM(E39:E39)</f>
        <v>0</v>
      </c>
      <c r="F40" s="28" t="n">
        <f aca="false">SUM(F39:F39)</f>
        <v>0</v>
      </c>
      <c r="G40" s="28" t="n">
        <f aca="false">SUM(G39:G39)</f>
        <v>0</v>
      </c>
      <c r="H40" s="28" t="n">
        <f aca="false">SUM(H39:H39)</f>
        <v>0</v>
      </c>
      <c r="I40" s="28" t="n">
        <f aca="false">SUM(I39:I39)</f>
        <v>0</v>
      </c>
      <c r="J40" s="26"/>
      <c r="K40" s="26"/>
    </row>
    <row r="41" customFormat="false" ht="116.25" hidden="false" customHeight="true" outlineLevel="0" collapsed="false">
      <c r="B41" s="29" t="s">
        <v>272</v>
      </c>
      <c r="C41" s="30" t="s">
        <v>328</v>
      </c>
      <c r="D41" s="31" t="n">
        <f aca="false">D9+D15+D19+D25+D28+D34+D37+D40</f>
        <v>0</v>
      </c>
      <c r="E41" s="31" t="n">
        <f aca="false">E9+E15+E19+E25+E28+E34+E37+E40</f>
        <v>0</v>
      </c>
      <c r="F41" s="31" t="n">
        <f aca="false">F9+F15+F19+F25+F28+F34+F37+F40</f>
        <v>0</v>
      </c>
      <c r="G41" s="31" t="n">
        <f aca="false">G9+G15+G19+G25+G28+G34+G37+G40</f>
        <v>0</v>
      </c>
      <c r="H41" s="31" t="n">
        <f aca="false">H9+H15+H19+H25+H28+H34+H37+H40</f>
        <v>0</v>
      </c>
      <c r="I41" s="31" t="n">
        <f aca="false">I9+I15+I19+I25+I28+I34+I37+I40</f>
        <v>0</v>
      </c>
      <c r="J41" s="32"/>
      <c r="K41" s="32"/>
    </row>
    <row r="43" customFormat="false" ht="45" hidden="false" customHeight="true" outlineLevel="0" collapsed="false">
      <c r="B43" s="33" t="s">
        <v>274</v>
      </c>
      <c r="C43" s="33"/>
      <c r="D43" s="33"/>
      <c r="E43" s="33"/>
      <c r="F43" s="33"/>
      <c r="G43" s="33"/>
      <c r="H43" s="33"/>
      <c r="I43" s="33"/>
      <c r="J43" s="33"/>
      <c r="K43" s="33"/>
    </row>
  </sheetData>
  <mergeCells count="3">
    <mergeCell ref="B2:K2"/>
    <mergeCell ref="B3:K3"/>
    <mergeCell ref="B43:K43"/>
  </mergeCells>
  <dataValidations count="1">
    <dataValidation allowBlank="false" error="Enter a non-negative amount in INR Lakhs." errorStyle="stop" errorTitle="Invalid entry" operator="greaterThanOrEqual" showDropDown="false" showErrorMessage="true" showInputMessage="false" sqref="D7:G8 D11:G14 D17:G18 D21:G24 D27:G27 D30:G33 D36:G36 D39:G39" type="decimal">
      <formula1>0</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I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62"/>
    <col collapsed="false" customWidth="true" hidden="false" outlineLevel="0" max="7" min="4" style="0" width="17"/>
    <col collapsed="false" customWidth="true" hidden="false" outlineLevel="0" max="9" min="8" style="0" width="22"/>
  </cols>
  <sheetData>
    <row r="2" customFormat="false" ht="43.5" hidden="false" customHeight="true" outlineLevel="0" collapsed="false">
      <c r="B2" s="18" t="s">
        <v>329</v>
      </c>
      <c r="C2" s="18"/>
      <c r="D2" s="18"/>
      <c r="E2" s="18"/>
      <c r="F2" s="18"/>
      <c r="G2" s="18"/>
      <c r="H2" s="18"/>
      <c r="I2" s="18"/>
    </row>
    <row r="3" customFormat="false" ht="48" hidden="false" customHeight="true" outlineLevel="0" collapsed="false">
      <c r="B3" s="19" t="s">
        <v>330</v>
      </c>
      <c r="C3" s="19"/>
      <c r="D3" s="19"/>
      <c r="E3" s="19"/>
      <c r="F3" s="19"/>
      <c r="G3" s="19"/>
      <c r="H3" s="19"/>
      <c r="I3" s="19"/>
    </row>
    <row r="5" customFormat="false" ht="30" hidden="false" customHeight="true" outlineLevel="0" collapsed="false">
      <c r="B5" s="6" t="s">
        <v>331</v>
      </c>
      <c r="C5" s="6"/>
      <c r="D5" s="6"/>
      <c r="E5" s="6"/>
      <c r="F5" s="6"/>
      <c r="G5" s="6"/>
      <c r="H5" s="6"/>
      <c r="I5" s="6"/>
    </row>
    <row r="6" customFormat="false" ht="57.75" hidden="false" customHeight="true" outlineLevel="0" collapsed="false">
      <c r="B6" s="8" t="s">
        <v>151</v>
      </c>
      <c r="C6" s="8" t="s">
        <v>332</v>
      </c>
      <c r="D6" s="8" t="s">
        <v>333</v>
      </c>
      <c r="E6" s="8" t="s">
        <v>334</v>
      </c>
      <c r="F6" s="8" t="s">
        <v>335</v>
      </c>
      <c r="G6" s="8" t="s">
        <v>336</v>
      </c>
      <c r="H6" s="8" t="s">
        <v>337</v>
      </c>
      <c r="I6" s="8" t="s">
        <v>338</v>
      </c>
    </row>
    <row r="7" customFormat="false" ht="68.25" hidden="false" customHeight="true" outlineLevel="0" collapsed="false">
      <c r="B7" s="34" t="s">
        <v>65</v>
      </c>
      <c r="C7" s="35" t="s">
        <v>273</v>
      </c>
      <c r="D7" s="36" t="n">
        <f aca="false">'3. Capital Income'!D29</f>
        <v>0</v>
      </c>
      <c r="E7" s="36" t="n">
        <f aca="false">'3. Capital Income'!E29</f>
        <v>0</v>
      </c>
      <c r="F7" s="36" t="n">
        <f aca="false">'3. Capital Income'!F29</f>
        <v>0</v>
      </c>
      <c r="G7" s="36" t="n">
        <f aca="false">'3. Capital Income'!G29</f>
        <v>0</v>
      </c>
      <c r="H7" s="36" t="n">
        <f aca="false">'3. Capital Income'!H29</f>
        <v>0</v>
      </c>
      <c r="I7" s="36" t="n">
        <f aca="false">'3. Capital Income'!I29</f>
        <v>0</v>
      </c>
    </row>
    <row r="8" customFormat="false" ht="88.5" hidden="false" customHeight="true" outlineLevel="0" collapsed="false">
      <c r="B8" s="34" t="s">
        <v>69</v>
      </c>
      <c r="C8" s="35" t="s">
        <v>339</v>
      </c>
      <c r="D8" s="36" t="n">
        <f aca="false">'4. Capital Expenditure'!D41</f>
        <v>0</v>
      </c>
      <c r="E8" s="36" t="n">
        <f aca="false">'4. Capital Expenditure'!E41</f>
        <v>0</v>
      </c>
      <c r="F8" s="36" t="n">
        <f aca="false">'4. Capital Expenditure'!F41</f>
        <v>0</v>
      </c>
      <c r="G8" s="36" t="n">
        <f aca="false">'4. Capital Expenditure'!G41</f>
        <v>0</v>
      </c>
      <c r="H8" s="36" t="n">
        <f aca="false">'4. Capital Expenditure'!H41</f>
        <v>0</v>
      </c>
      <c r="I8" s="36" t="n">
        <f aca="false">'4. Capital Expenditure'!I41</f>
        <v>0</v>
      </c>
    </row>
    <row r="10" customFormat="false" ht="30" hidden="false" customHeight="true" outlineLevel="0" collapsed="false">
      <c r="B10" s="6" t="s">
        <v>340</v>
      </c>
      <c r="C10" s="6"/>
      <c r="D10" s="6"/>
      <c r="E10" s="6"/>
      <c r="F10" s="6"/>
      <c r="G10" s="6"/>
      <c r="H10" s="6"/>
      <c r="I10" s="6"/>
    </row>
    <row r="11" customFormat="false" ht="57.75" hidden="false" customHeight="true" outlineLevel="0" collapsed="false">
      <c r="B11" s="8" t="s">
        <v>151</v>
      </c>
      <c r="C11" s="8" t="s">
        <v>152</v>
      </c>
      <c r="D11" s="8" t="s">
        <v>228</v>
      </c>
      <c r="E11" s="8" t="s">
        <v>229</v>
      </c>
      <c r="F11" s="8" t="s">
        <v>230</v>
      </c>
      <c r="G11" s="8" t="s">
        <v>231</v>
      </c>
      <c r="H11" s="8" t="s">
        <v>341</v>
      </c>
      <c r="I11" s="8" t="s">
        <v>342</v>
      </c>
    </row>
    <row r="12" customFormat="false" ht="48" hidden="false" customHeight="true" outlineLevel="0" collapsed="false">
      <c r="B12" s="34" t="s">
        <v>73</v>
      </c>
      <c r="C12" s="35" t="s">
        <v>343</v>
      </c>
      <c r="D12" s="37" t="str">
        <f aca="false">IF(D7=0,"-",D8/D7)</f>
        <v>-</v>
      </c>
      <c r="E12" s="37" t="str">
        <f aca="false">IF(E7=0,"-",E8/E7)</f>
        <v>-</v>
      </c>
      <c r="F12" s="37" t="str">
        <f aca="false">IF(F7=0,"-",F8/F7)</f>
        <v>-</v>
      </c>
      <c r="G12" s="37" t="str">
        <f aca="false">IF(G7=0,"-",G8/G7)</f>
        <v>-</v>
      </c>
      <c r="H12" s="37" t="str">
        <f aca="false">IF(H7=0,"-",H8/H7)</f>
        <v>-</v>
      </c>
      <c r="I12" s="37" t="str">
        <f aca="false">IF(I7=0,"-",I8/I7)</f>
        <v>-</v>
      </c>
    </row>
    <row r="13" customFormat="false" ht="30" hidden="false" customHeight="true" outlineLevel="0" collapsed="false">
      <c r="B13" s="34" t="s">
        <v>76</v>
      </c>
      <c r="C13" s="9" t="s">
        <v>344</v>
      </c>
      <c r="D13" s="38" t="str">
        <f aca="false">IF(D8=0,"-",D7/D8)</f>
        <v>-</v>
      </c>
      <c r="E13" s="38" t="str">
        <f aca="false">IF(E8=0,"-",E7/E8)</f>
        <v>-</v>
      </c>
      <c r="F13" s="38" t="str">
        <f aca="false">IF(F8=0,"-",F7/F8)</f>
        <v>-</v>
      </c>
      <c r="G13" s="38" t="str">
        <f aca="false">IF(G8=0,"-",G7/G8)</f>
        <v>-</v>
      </c>
      <c r="H13" s="38" t="str">
        <f aca="false">IF(H8=0,"-",H7/H8)</f>
        <v>-</v>
      </c>
      <c r="I13" s="38" t="str">
        <f aca="false">IF(I8=0,"-",I7/I8)</f>
        <v>-</v>
      </c>
    </row>
    <row r="14" customFormat="false" ht="48" hidden="false" customHeight="true" outlineLevel="0" collapsed="false">
      <c r="B14" s="34" t="s">
        <v>79</v>
      </c>
      <c r="C14" s="9" t="s">
        <v>345</v>
      </c>
      <c r="D14" s="39" t="n">
        <f aca="false">D7-D8</f>
        <v>0</v>
      </c>
      <c r="E14" s="39" t="n">
        <f aca="false">E7-E8</f>
        <v>0</v>
      </c>
      <c r="F14" s="39" t="n">
        <f aca="false">F7-F8</f>
        <v>0</v>
      </c>
      <c r="G14" s="39" t="n">
        <f aca="false">G7-G8</f>
        <v>0</v>
      </c>
      <c r="H14" s="39" t="n">
        <f aca="false">H7-H8</f>
        <v>0</v>
      </c>
      <c r="I14" s="39" t="n">
        <f aca="false">I7-I8</f>
        <v>0</v>
      </c>
    </row>
    <row r="15" customFormat="false" ht="30" hidden="false" customHeight="true" outlineLevel="0" collapsed="false">
      <c r="B15" s="34" t="s">
        <v>82</v>
      </c>
      <c r="C15" s="9" t="s">
        <v>346</v>
      </c>
      <c r="D15" s="40" t="str">
        <f aca="false">IF(OR(E7=0,D7=0),"-",D7/E7-1)</f>
        <v>-</v>
      </c>
      <c r="E15" s="40" t="str">
        <f aca="false">IF(OR(F7=0,E7=0),"-",E7/F7-1)</f>
        <v>-</v>
      </c>
      <c r="F15" s="40" t="str">
        <f aca="false">IF(OR(G7=0,F7=0),"-",F7/G7-1)</f>
        <v>-</v>
      </c>
      <c r="G15" s="40" t="s">
        <v>347</v>
      </c>
      <c r="H15" s="40" t="s">
        <v>347</v>
      </c>
      <c r="I15" s="40" t="s">
        <v>347</v>
      </c>
    </row>
    <row r="16" customFormat="false" ht="30" hidden="false" customHeight="true" outlineLevel="0" collapsed="false">
      <c r="B16" s="34" t="s">
        <v>85</v>
      </c>
      <c r="C16" s="9" t="s">
        <v>348</v>
      </c>
      <c r="D16" s="40" t="str">
        <f aca="false">IF(OR(E8=0,D8=0),"-",D8/E8-1)</f>
        <v>-</v>
      </c>
      <c r="E16" s="40" t="str">
        <f aca="false">IF(OR(F8=0,E8=0),"-",E8/F8-1)</f>
        <v>-</v>
      </c>
      <c r="F16" s="40" t="str">
        <f aca="false">IF(OR(G8=0,F8=0),"-",F8/G8-1)</f>
        <v>-</v>
      </c>
      <c r="G16" s="40" t="s">
        <v>347</v>
      </c>
      <c r="H16" s="40" t="s">
        <v>347</v>
      </c>
      <c r="I16" s="40" t="s">
        <v>347</v>
      </c>
    </row>
    <row r="17" customFormat="false" ht="79.5" hidden="false" customHeight="true" outlineLevel="0" collapsed="false">
      <c r="B17" s="34" t="s">
        <v>89</v>
      </c>
      <c r="C17" s="9" t="s">
        <v>349</v>
      </c>
      <c r="D17" s="41" t="str">
        <f aca="false">IF(D7=0,"Enter data",IF(D12&lt;0.5,"Band I – Low utilisation",IF(D12&lt;0.8,"Band II – Moderate",IF(D12&lt;=1.2,"Band III – Balanced / Optimal","Band IV – CapEx exceeds capital receipts"))))</f>
        <v>Enter data</v>
      </c>
      <c r="E17" s="41" t="str">
        <f aca="false">IF(E7=0,"Enter data",IF(E12&lt;0.5,"Band I – Low utilisation",IF(E12&lt;0.8,"Band II – Moderate",IF(E12&lt;=1.2,"Band III – Balanced / Optimal","Band IV – CapEx exceeds capital receipts"))))</f>
        <v>Enter data</v>
      </c>
      <c r="F17" s="41" t="str">
        <f aca="false">IF(F7=0,"Enter data",IF(F12&lt;0.5,"Band I – Low utilisation",IF(F12&lt;0.8,"Band II – Moderate",IF(F12&lt;=1.2,"Band III – Balanced / Optimal","Band IV – CapEx exceeds capital receipts"))))</f>
        <v>Enter data</v>
      </c>
      <c r="G17" s="41" t="str">
        <f aca="false">IF(G7=0,"Enter data",IF(G12&lt;0.5,"Band I – Low utilisation",IF(G12&lt;0.8,"Band II – Moderate",IF(G12&lt;=1.2,"Band III – Balanced / Optimal","Band IV – CapEx exceeds capital receipts"))))</f>
        <v>Enter data</v>
      </c>
      <c r="H17" s="41" t="str">
        <f aca="false">IF(H7=0,"Enter data",IF(H12&lt;0.5,"Band I – Low utilisation",IF(H12&lt;0.8,"Band II – Moderate",IF(H12&lt;=1.2,"Band III – Balanced / Optimal","Band IV – CapEx exceeds capital receipts"))))</f>
        <v>Enter data</v>
      </c>
      <c r="I17" s="41" t="str">
        <f aca="false">IF(I7=0,"Enter data",IF(I12&lt;0.5,"Band I – Low utilisation",IF(I12&lt;0.8,"Band II – Moderate",IF(I12&lt;=1.2,"Band III – Balanced / Optimal","Band IV – CapEx exceeds capital receipts"))))</f>
        <v>Enter data</v>
      </c>
    </row>
    <row r="19" customFormat="false" ht="30" hidden="false" customHeight="true" outlineLevel="0" collapsed="false">
      <c r="B19" s="6" t="s">
        <v>350</v>
      </c>
      <c r="C19" s="6"/>
      <c r="D19" s="6"/>
      <c r="E19" s="6"/>
      <c r="F19" s="6"/>
      <c r="G19" s="6"/>
      <c r="H19" s="6"/>
      <c r="I19" s="6"/>
    </row>
    <row r="20" customFormat="false" ht="57.75" hidden="false" customHeight="true" outlineLevel="0" collapsed="false">
      <c r="B20" s="8" t="s">
        <v>101</v>
      </c>
      <c r="C20" s="8" t="s">
        <v>351</v>
      </c>
      <c r="D20" s="8" t="s">
        <v>352</v>
      </c>
      <c r="E20" s="8" t="s">
        <v>353</v>
      </c>
    </row>
    <row r="21" customFormat="false" ht="27.75" hidden="false" customHeight="true" outlineLevel="0" collapsed="false">
      <c r="B21" s="22" t="s">
        <v>105</v>
      </c>
      <c r="C21" s="42" t="s">
        <v>236</v>
      </c>
      <c r="D21" s="43" t="n">
        <f aca="false">'3. Capital Income'!H11</f>
        <v>0</v>
      </c>
      <c r="E21" s="44" t="str">
        <f aca="false">IF($H$7=0,"-",D21/$H$7)</f>
        <v>-</v>
      </c>
    </row>
    <row r="22" customFormat="false" ht="27.75" hidden="false" customHeight="true" outlineLevel="0" collapsed="false">
      <c r="B22" s="22" t="s">
        <v>109</v>
      </c>
      <c r="C22" s="42" t="s">
        <v>246</v>
      </c>
      <c r="D22" s="43" t="n">
        <f aca="false">'3. Capital Income'!H15</f>
        <v>0</v>
      </c>
      <c r="E22" s="44" t="str">
        <f aca="false">IF($H$7=0,"-",D22/$H$7)</f>
        <v>-</v>
      </c>
    </row>
    <row r="23" customFormat="false" ht="27.75" hidden="false" customHeight="true" outlineLevel="0" collapsed="false">
      <c r="B23" s="22" t="s">
        <v>113</v>
      </c>
      <c r="C23" s="42" t="s">
        <v>252</v>
      </c>
      <c r="D23" s="43" t="n">
        <f aca="false">'3. Capital Income'!H19</f>
        <v>0</v>
      </c>
      <c r="E23" s="44" t="str">
        <f aca="false">IF($H$7=0,"-",D23/$H$7)</f>
        <v>-</v>
      </c>
    </row>
    <row r="24" customFormat="false" ht="27.75" hidden="false" customHeight="true" outlineLevel="0" collapsed="false">
      <c r="B24" s="22" t="s">
        <v>117</v>
      </c>
      <c r="C24" s="42" t="s">
        <v>258</v>
      </c>
      <c r="D24" s="43" t="n">
        <f aca="false">'3. Capital Income'!H24</f>
        <v>0</v>
      </c>
      <c r="E24" s="44" t="str">
        <f aca="false">IF($H$7=0,"-",D24/$H$7)</f>
        <v>-</v>
      </c>
    </row>
    <row r="25" customFormat="false" ht="27.75" hidden="false" customHeight="true" outlineLevel="0" collapsed="false">
      <c r="B25" s="22" t="s">
        <v>121</v>
      </c>
      <c r="C25" s="42" t="s">
        <v>266</v>
      </c>
      <c r="D25" s="43" t="n">
        <f aca="false">'3. Capital Income'!H28</f>
        <v>0</v>
      </c>
      <c r="E25" s="44" t="str">
        <f aca="false">IF($H$7=0,"-",D25/$H$7)</f>
        <v>-</v>
      </c>
    </row>
    <row r="27" customFormat="false" ht="57.75" hidden="false" customHeight="true" outlineLevel="0" collapsed="false">
      <c r="B27" s="8" t="s">
        <v>101</v>
      </c>
      <c r="C27" s="8" t="s">
        <v>354</v>
      </c>
      <c r="D27" s="8" t="s">
        <v>352</v>
      </c>
      <c r="E27" s="8" t="s">
        <v>353</v>
      </c>
    </row>
    <row r="28" customFormat="false" ht="27.75" hidden="false" customHeight="true" outlineLevel="0" collapsed="false">
      <c r="B28" s="22" t="s">
        <v>65</v>
      </c>
      <c r="C28" s="42" t="s">
        <v>277</v>
      </c>
      <c r="D28" s="43" t="n">
        <f aca="false">'4. Capital Expenditure'!H9</f>
        <v>0</v>
      </c>
      <c r="E28" s="44" t="str">
        <f aca="false">IF($H$8=0,"-",D28/$H$8)</f>
        <v>-</v>
      </c>
    </row>
    <row r="29" customFormat="false" ht="27.75" hidden="false" customHeight="true" outlineLevel="0" collapsed="false">
      <c r="B29" s="22" t="s">
        <v>69</v>
      </c>
      <c r="C29" s="42" t="s">
        <v>283</v>
      </c>
      <c r="D29" s="43" t="n">
        <f aca="false">'4. Capital Expenditure'!H15</f>
        <v>0</v>
      </c>
      <c r="E29" s="44" t="str">
        <f aca="false">IF($H$8=0,"-",D29/$H$8)</f>
        <v>-</v>
      </c>
    </row>
    <row r="30" customFormat="false" ht="27.75" hidden="false" customHeight="true" outlineLevel="0" collapsed="false">
      <c r="B30" s="22" t="s">
        <v>73</v>
      </c>
      <c r="C30" s="42" t="s">
        <v>132</v>
      </c>
      <c r="D30" s="43" t="n">
        <f aca="false">'4. Capital Expenditure'!H19</f>
        <v>0</v>
      </c>
      <c r="E30" s="44" t="str">
        <f aca="false">IF($H$8=0,"-",D30/$H$8)</f>
        <v>-</v>
      </c>
    </row>
    <row r="31" customFormat="false" ht="27.75" hidden="false" customHeight="true" outlineLevel="0" collapsed="false">
      <c r="B31" s="22" t="s">
        <v>76</v>
      </c>
      <c r="C31" s="42" t="s">
        <v>298</v>
      </c>
      <c r="D31" s="43" t="n">
        <f aca="false">'4. Capital Expenditure'!H25</f>
        <v>0</v>
      </c>
      <c r="E31" s="44" t="str">
        <f aca="false">IF($H$8=0,"-",D31/$H$8)</f>
        <v>-</v>
      </c>
    </row>
    <row r="32" customFormat="false" ht="27.75" hidden="false" customHeight="true" outlineLevel="0" collapsed="false">
      <c r="B32" s="22" t="s">
        <v>79</v>
      </c>
      <c r="C32" s="42" t="s">
        <v>138</v>
      </c>
      <c r="D32" s="43" t="n">
        <f aca="false">'4. Capital Expenditure'!H28</f>
        <v>0</v>
      </c>
      <c r="E32" s="44" t="str">
        <f aca="false">IF($H$8=0,"-",D32/$H$8)</f>
        <v>-</v>
      </c>
    </row>
    <row r="33" customFormat="false" ht="27.75" hidden="false" customHeight="true" outlineLevel="0" collapsed="false">
      <c r="B33" s="22" t="s">
        <v>82</v>
      </c>
      <c r="C33" s="42" t="s">
        <v>141</v>
      </c>
      <c r="D33" s="43" t="n">
        <f aca="false">'4. Capital Expenditure'!H34</f>
        <v>0</v>
      </c>
      <c r="E33" s="44" t="str">
        <f aca="false">IF($H$8=0,"-",D33/$H$8)</f>
        <v>-</v>
      </c>
    </row>
    <row r="34" customFormat="false" ht="27.75" hidden="false" customHeight="true" outlineLevel="0" collapsed="false">
      <c r="B34" s="22" t="s">
        <v>85</v>
      </c>
      <c r="C34" s="42" t="s">
        <v>320</v>
      </c>
      <c r="D34" s="43" t="n">
        <f aca="false">'4. Capital Expenditure'!H37</f>
        <v>0</v>
      </c>
      <c r="E34" s="44" t="str">
        <f aca="false">IF($H$8=0,"-",D34/$H$8)</f>
        <v>-</v>
      </c>
    </row>
    <row r="35" customFormat="false" ht="27.75" hidden="false" customHeight="true" outlineLevel="0" collapsed="false">
      <c r="B35" s="22" t="s">
        <v>89</v>
      </c>
      <c r="C35" s="42" t="s">
        <v>324</v>
      </c>
      <c r="D35" s="43" t="n">
        <f aca="false">'4. Capital Expenditure'!H40</f>
        <v>0</v>
      </c>
      <c r="E35" s="44" t="str">
        <f aca="false">IF($H$8=0,"-",D35/$H$8)</f>
        <v>-</v>
      </c>
    </row>
    <row r="37" customFormat="false" ht="30" hidden="false" customHeight="true" outlineLevel="0" collapsed="false">
      <c r="B37" s="6" t="s">
        <v>355</v>
      </c>
      <c r="C37" s="6"/>
      <c r="D37" s="6"/>
      <c r="E37" s="6"/>
      <c r="F37" s="6"/>
      <c r="G37" s="6"/>
      <c r="H37" s="6"/>
      <c r="I37" s="6"/>
    </row>
    <row r="62" customFormat="false" ht="68.25" hidden="false" customHeight="true" outlineLevel="0" collapsed="false">
      <c r="B62" s="19" t="s">
        <v>356</v>
      </c>
      <c r="C62" s="19"/>
      <c r="D62" s="19"/>
      <c r="E62" s="19"/>
      <c r="F62" s="19"/>
      <c r="G62" s="19"/>
      <c r="H62" s="19"/>
      <c r="I62" s="19"/>
    </row>
  </sheetData>
  <mergeCells count="7">
    <mergeCell ref="B2:I2"/>
    <mergeCell ref="B3:I3"/>
    <mergeCell ref="B5:I5"/>
    <mergeCell ref="B10:I10"/>
    <mergeCell ref="B19:I19"/>
    <mergeCell ref="B37:I37"/>
    <mergeCell ref="B62:I6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I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
    <col collapsed="false" customWidth="true" hidden="false" outlineLevel="0" max="3" min="3" style="0" width="58"/>
    <col collapsed="false" customWidth="true" hidden="false" outlineLevel="0" max="7" min="4" style="0" width="17"/>
    <col collapsed="false" customWidth="true" hidden="false" outlineLevel="0" max="9" min="8" style="0" width="22"/>
  </cols>
  <sheetData>
    <row r="2" customFormat="false" ht="39" hidden="false" customHeight="true" outlineLevel="0" collapsed="false">
      <c r="B2" s="45" t="s">
        <v>357</v>
      </c>
      <c r="C2" s="45"/>
      <c r="D2" s="45"/>
      <c r="E2" s="45"/>
      <c r="F2" s="45"/>
      <c r="G2" s="45"/>
      <c r="H2" s="45"/>
      <c r="I2" s="45"/>
    </row>
    <row r="3" customFormat="false" ht="48" hidden="false" customHeight="true" outlineLevel="0" collapsed="false">
      <c r="B3" s="46" t="s">
        <v>358</v>
      </c>
      <c r="C3" s="46"/>
      <c r="D3" s="46"/>
      <c r="E3" s="46"/>
      <c r="F3" s="46"/>
      <c r="G3" s="46"/>
      <c r="H3" s="46"/>
      <c r="I3" s="46"/>
    </row>
    <row r="5" customFormat="false" ht="30" hidden="false" customHeight="true" outlineLevel="0" collapsed="false">
      <c r="B5" s="6" t="s">
        <v>359</v>
      </c>
      <c r="C5" s="6"/>
      <c r="D5" s="6"/>
      <c r="E5" s="6"/>
      <c r="F5" s="6"/>
      <c r="G5" s="6"/>
      <c r="H5" s="6"/>
      <c r="I5" s="6"/>
    </row>
    <row r="6" customFormat="false" ht="57.75" hidden="false" customHeight="true" outlineLevel="0" collapsed="false">
      <c r="B6" s="8" t="s">
        <v>101</v>
      </c>
      <c r="C6" s="8" t="s">
        <v>102</v>
      </c>
      <c r="D6" s="8" t="s">
        <v>228</v>
      </c>
      <c r="E6" s="8" t="s">
        <v>229</v>
      </c>
      <c r="F6" s="8" t="s">
        <v>230</v>
      </c>
      <c r="G6" s="8" t="s">
        <v>231</v>
      </c>
      <c r="H6" s="8" t="s">
        <v>360</v>
      </c>
      <c r="I6" s="8" t="s">
        <v>361</v>
      </c>
    </row>
    <row r="7" customFormat="false" ht="27.75" hidden="false" customHeight="true" outlineLevel="0" collapsed="false">
      <c r="B7" s="22" t="s">
        <v>105</v>
      </c>
      <c r="C7" s="42" t="s">
        <v>362</v>
      </c>
      <c r="D7" s="47" t="n">
        <v>150</v>
      </c>
      <c r="E7" s="47" t="n">
        <v>120</v>
      </c>
      <c r="F7" s="47" t="n">
        <v>80</v>
      </c>
      <c r="G7" s="47" t="n">
        <v>60</v>
      </c>
      <c r="H7" s="24" t="n">
        <f aca="false">SUM(D7:F7)</f>
        <v>350</v>
      </c>
      <c r="I7" s="24" t="n">
        <f aca="false">SUM(D7:G7)</f>
        <v>410</v>
      </c>
    </row>
    <row r="8" customFormat="false" ht="27.75" hidden="false" customHeight="true" outlineLevel="0" collapsed="false">
      <c r="B8" s="22" t="s">
        <v>109</v>
      </c>
      <c r="C8" s="42" t="s">
        <v>110</v>
      </c>
      <c r="D8" s="47" t="n">
        <v>900</v>
      </c>
      <c r="E8" s="47" t="n">
        <v>800</v>
      </c>
      <c r="F8" s="47" t="n">
        <v>700</v>
      </c>
      <c r="G8" s="47" t="n">
        <v>600</v>
      </c>
      <c r="H8" s="24" t="n">
        <f aca="false">SUM(D8:F8)</f>
        <v>2400</v>
      </c>
      <c r="I8" s="24" t="n">
        <f aca="false">SUM(D8:G8)</f>
        <v>3000</v>
      </c>
    </row>
    <row r="9" customFormat="false" ht="27.75" hidden="false" customHeight="true" outlineLevel="0" collapsed="false">
      <c r="B9" s="22" t="s">
        <v>113</v>
      </c>
      <c r="C9" s="42" t="s">
        <v>363</v>
      </c>
      <c r="D9" s="47" t="n">
        <v>500</v>
      </c>
      <c r="E9" s="47" t="n">
        <v>450</v>
      </c>
      <c r="F9" s="47" t="n">
        <v>300</v>
      </c>
      <c r="G9" s="47" t="n">
        <v>250</v>
      </c>
      <c r="H9" s="24" t="n">
        <f aca="false">SUM(D9:F9)</f>
        <v>1250</v>
      </c>
      <c r="I9" s="24" t="n">
        <f aca="false">SUM(D9:G9)</f>
        <v>1500</v>
      </c>
    </row>
    <row r="10" customFormat="false" ht="27.75" hidden="false" customHeight="true" outlineLevel="0" collapsed="false">
      <c r="B10" s="22" t="s">
        <v>117</v>
      </c>
      <c r="C10" s="42" t="s">
        <v>364</v>
      </c>
      <c r="D10" s="47" t="n">
        <v>60</v>
      </c>
      <c r="E10" s="47" t="n">
        <v>40</v>
      </c>
      <c r="F10" s="47" t="n">
        <v>35</v>
      </c>
      <c r="G10" s="47" t="n">
        <v>30</v>
      </c>
      <c r="H10" s="24" t="n">
        <f aca="false">SUM(D10:F10)</f>
        <v>135</v>
      </c>
      <c r="I10" s="24" t="n">
        <f aca="false">SUM(D10:G10)</f>
        <v>165</v>
      </c>
    </row>
    <row r="11" customFormat="false" ht="27.75" hidden="false" customHeight="true" outlineLevel="0" collapsed="false">
      <c r="B11" s="22" t="s">
        <v>121</v>
      </c>
      <c r="C11" s="42" t="s">
        <v>365</v>
      </c>
      <c r="D11" s="47" t="n">
        <v>0</v>
      </c>
      <c r="E11" s="47" t="n">
        <v>10</v>
      </c>
      <c r="F11" s="47" t="n">
        <v>5</v>
      </c>
      <c r="G11" s="47" t="n">
        <v>0</v>
      </c>
      <c r="H11" s="24" t="n">
        <f aca="false">SUM(D11:F11)</f>
        <v>15</v>
      </c>
      <c r="I11" s="24" t="n">
        <f aca="false">SUM(D11:G11)</f>
        <v>15</v>
      </c>
    </row>
    <row r="12" customFormat="false" ht="30" hidden="false" customHeight="true" outlineLevel="0" collapsed="false">
      <c r="B12" s="32"/>
      <c r="C12" s="48" t="s">
        <v>155</v>
      </c>
      <c r="D12" s="49" t="n">
        <f aca="false">SUM(D7:D11)</f>
        <v>1610</v>
      </c>
      <c r="E12" s="49" t="n">
        <f aca="false">SUM(E7:E11)</f>
        <v>1420</v>
      </c>
      <c r="F12" s="49" t="n">
        <f aca="false">SUM(F7:F11)</f>
        <v>1120</v>
      </c>
      <c r="G12" s="49" t="n">
        <f aca="false">SUM(G7:G11)</f>
        <v>940</v>
      </c>
      <c r="H12" s="49" t="n">
        <f aca="false">SUM(H7:H11)</f>
        <v>4150</v>
      </c>
      <c r="I12" s="49" t="n">
        <f aca="false">SUM(I7:I11)</f>
        <v>5090</v>
      </c>
    </row>
    <row r="14" customFormat="false" ht="30" hidden="false" customHeight="true" outlineLevel="0" collapsed="false">
      <c r="B14" s="6" t="s">
        <v>366</v>
      </c>
      <c r="C14" s="6"/>
      <c r="D14" s="6"/>
      <c r="E14" s="6"/>
      <c r="F14" s="6"/>
      <c r="G14" s="6"/>
      <c r="H14" s="6"/>
      <c r="I14" s="6"/>
    </row>
    <row r="15" customFormat="false" ht="57.75" hidden="false" customHeight="true" outlineLevel="0" collapsed="false">
      <c r="B15" s="8" t="s">
        <v>101</v>
      </c>
      <c r="C15" s="8" t="s">
        <v>102</v>
      </c>
      <c r="D15" s="8" t="s">
        <v>228</v>
      </c>
      <c r="E15" s="8" t="s">
        <v>229</v>
      </c>
      <c r="F15" s="8" t="s">
        <v>230</v>
      </c>
      <c r="G15" s="8" t="s">
        <v>231</v>
      </c>
      <c r="H15" s="8" t="s">
        <v>360</v>
      </c>
      <c r="I15" s="8" t="s">
        <v>361</v>
      </c>
    </row>
    <row r="16" customFormat="false" ht="27.75" hidden="false" customHeight="true" outlineLevel="0" collapsed="false">
      <c r="B16" s="22" t="s">
        <v>65</v>
      </c>
      <c r="C16" s="42" t="s">
        <v>126</v>
      </c>
      <c r="D16" s="47" t="n">
        <v>600</v>
      </c>
      <c r="E16" s="47" t="n">
        <v>700</v>
      </c>
      <c r="F16" s="47" t="n">
        <v>380</v>
      </c>
      <c r="G16" s="47" t="n">
        <v>300</v>
      </c>
      <c r="H16" s="24" t="n">
        <f aca="false">SUM(D16:F16)</f>
        <v>1680</v>
      </c>
      <c r="I16" s="24" t="n">
        <f aca="false">SUM(D16:G16)</f>
        <v>1980</v>
      </c>
    </row>
    <row r="17" customFormat="false" ht="27.75" hidden="false" customHeight="true" outlineLevel="0" collapsed="false">
      <c r="B17" s="22" t="s">
        <v>69</v>
      </c>
      <c r="C17" s="42" t="s">
        <v>129</v>
      </c>
      <c r="D17" s="47" t="n">
        <v>140</v>
      </c>
      <c r="E17" s="47" t="n">
        <v>120</v>
      </c>
      <c r="F17" s="47" t="n">
        <v>100</v>
      </c>
      <c r="G17" s="47" t="n">
        <v>80</v>
      </c>
      <c r="H17" s="24" t="n">
        <f aca="false">SUM(D17:F17)</f>
        <v>360</v>
      </c>
      <c r="I17" s="24" t="n">
        <f aca="false">SUM(D17:G17)</f>
        <v>440</v>
      </c>
    </row>
    <row r="18" customFormat="false" ht="27.75" hidden="false" customHeight="true" outlineLevel="0" collapsed="false">
      <c r="B18" s="22" t="s">
        <v>73</v>
      </c>
      <c r="C18" s="42" t="s">
        <v>132</v>
      </c>
      <c r="D18" s="47" t="n">
        <v>300</v>
      </c>
      <c r="E18" s="47" t="n">
        <v>250</v>
      </c>
      <c r="F18" s="47" t="n">
        <v>200</v>
      </c>
      <c r="G18" s="47" t="n">
        <v>150</v>
      </c>
      <c r="H18" s="24" t="n">
        <f aca="false">SUM(D18:F18)</f>
        <v>750</v>
      </c>
      <c r="I18" s="24" t="n">
        <f aca="false">SUM(D18:G18)</f>
        <v>900</v>
      </c>
    </row>
    <row r="19" customFormat="false" ht="27.75" hidden="false" customHeight="true" outlineLevel="0" collapsed="false">
      <c r="B19" s="22" t="s">
        <v>76</v>
      </c>
      <c r="C19" s="42" t="s">
        <v>135</v>
      </c>
      <c r="D19" s="47" t="n">
        <v>350</v>
      </c>
      <c r="E19" s="47" t="n">
        <v>280</v>
      </c>
      <c r="F19" s="47" t="n">
        <v>220</v>
      </c>
      <c r="G19" s="47" t="n">
        <v>190</v>
      </c>
      <c r="H19" s="24" t="n">
        <f aca="false">SUM(D19:F19)</f>
        <v>850</v>
      </c>
      <c r="I19" s="24" t="n">
        <f aca="false">SUM(D19:G19)</f>
        <v>1040</v>
      </c>
    </row>
    <row r="20" customFormat="false" ht="27.75" hidden="false" customHeight="true" outlineLevel="0" collapsed="false">
      <c r="B20" s="22" t="s">
        <v>79</v>
      </c>
      <c r="C20" s="42" t="s">
        <v>138</v>
      </c>
      <c r="D20" s="47" t="n">
        <v>0</v>
      </c>
      <c r="E20" s="47" t="n">
        <v>40</v>
      </c>
      <c r="F20" s="47" t="n">
        <v>20</v>
      </c>
      <c r="G20" s="47" t="n">
        <v>0</v>
      </c>
      <c r="H20" s="24" t="n">
        <f aca="false">SUM(D20:F20)</f>
        <v>60</v>
      </c>
      <c r="I20" s="24" t="n">
        <f aca="false">SUM(D20:G20)</f>
        <v>60</v>
      </c>
    </row>
    <row r="21" customFormat="false" ht="27.75" hidden="false" customHeight="true" outlineLevel="0" collapsed="false">
      <c r="B21" s="22" t="s">
        <v>82</v>
      </c>
      <c r="C21" s="42" t="s">
        <v>141</v>
      </c>
      <c r="D21" s="47" t="n">
        <v>120</v>
      </c>
      <c r="E21" s="47" t="n">
        <v>100</v>
      </c>
      <c r="F21" s="47" t="n">
        <v>90</v>
      </c>
      <c r="G21" s="47" t="n">
        <v>70</v>
      </c>
      <c r="H21" s="24" t="n">
        <f aca="false">SUM(D21:F21)</f>
        <v>310</v>
      </c>
      <c r="I21" s="24" t="n">
        <f aca="false">SUM(D21:G21)</f>
        <v>380</v>
      </c>
    </row>
    <row r="22" customFormat="false" ht="27.75" hidden="false" customHeight="true" outlineLevel="0" collapsed="false">
      <c r="B22" s="22" t="s">
        <v>85</v>
      </c>
      <c r="C22" s="42" t="s">
        <v>144</v>
      </c>
      <c r="D22" s="47" t="n">
        <v>45</v>
      </c>
      <c r="E22" s="47" t="n">
        <v>40</v>
      </c>
      <c r="F22" s="47" t="n">
        <v>35</v>
      </c>
      <c r="G22" s="47" t="n">
        <v>30</v>
      </c>
      <c r="H22" s="24" t="n">
        <f aca="false">SUM(D22:F22)</f>
        <v>120</v>
      </c>
      <c r="I22" s="24" t="n">
        <f aca="false">SUM(D22:G22)</f>
        <v>150</v>
      </c>
    </row>
    <row r="23" customFormat="false" ht="27.75" hidden="false" customHeight="true" outlineLevel="0" collapsed="false">
      <c r="B23" s="22" t="s">
        <v>89</v>
      </c>
      <c r="C23" s="42" t="s">
        <v>367</v>
      </c>
      <c r="D23" s="47" t="n">
        <v>5</v>
      </c>
      <c r="E23" s="47" t="n">
        <v>0</v>
      </c>
      <c r="F23" s="47" t="n">
        <v>0</v>
      </c>
      <c r="G23" s="47" t="n">
        <v>10</v>
      </c>
      <c r="H23" s="24" t="n">
        <f aca="false">SUM(D23:F23)</f>
        <v>5</v>
      </c>
      <c r="I23" s="24" t="n">
        <f aca="false">SUM(D23:G23)</f>
        <v>15</v>
      </c>
    </row>
    <row r="24" customFormat="false" ht="30" hidden="false" customHeight="true" outlineLevel="0" collapsed="false">
      <c r="B24" s="32"/>
      <c r="C24" s="48" t="s">
        <v>158</v>
      </c>
      <c r="D24" s="49" t="n">
        <f aca="false">SUM(D16:D23)</f>
        <v>1560</v>
      </c>
      <c r="E24" s="49" t="n">
        <f aca="false">SUM(E16:E23)</f>
        <v>1530</v>
      </c>
      <c r="F24" s="49" t="n">
        <f aca="false">SUM(F16:F23)</f>
        <v>1045</v>
      </c>
      <c r="G24" s="49" t="n">
        <f aca="false">SUM(G16:G23)</f>
        <v>830</v>
      </c>
      <c r="H24" s="49" t="n">
        <f aca="false">SUM(H16:H23)</f>
        <v>4135</v>
      </c>
      <c r="I24" s="49" t="n">
        <f aca="false">SUM(I16:I23)</f>
        <v>4965</v>
      </c>
    </row>
    <row r="26" customFormat="false" ht="30" hidden="false" customHeight="true" outlineLevel="0" collapsed="false">
      <c r="B26" s="6" t="s">
        <v>368</v>
      </c>
      <c r="C26" s="6"/>
      <c r="D26" s="6"/>
      <c r="E26" s="6"/>
      <c r="F26" s="6"/>
      <c r="G26" s="6"/>
      <c r="H26" s="6"/>
      <c r="I26" s="6"/>
    </row>
    <row r="27" customFormat="false" ht="57.75" hidden="false" customHeight="true" outlineLevel="0" collapsed="false">
      <c r="B27" s="8" t="s">
        <v>151</v>
      </c>
      <c r="C27" s="8" t="s">
        <v>152</v>
      </c>
      <c r="D27" s="8" t="s">
        <v>228</v>
      </c>
      <c r="E27" s="8" t="s">
        <v>229</v>
      </c>
      <c r="F27" s="8" t="s">
        <v>230</v>
      </c>
      <c r="G27" s="8" t="s">
        <v>231</v>
      </c>
      <c r="H27" s="8" t="s">
        <v>360</v>
      </c>
      <c r="I27" s="8" t="s">
        <v>361</v>
      </c>
    </row>
    <row r="28" customFormat="false" ht="30" hidden="false" customHeight="true" outlineLevel="0" collapsed="false">
      <c r="B28" s="34" t="s">
        <v>369</v>
      </c>
      <c r="C28" s="35" t="s">
        <v>370</v>
      </c>
      <c r="D28" s="37" t="n">
        <f aca="false">IF(D12=0,"-",D24/D12)</f>
        <v>0.968944099378882</v>
      </c>
      <c r="E28" s="37" t="n">
        <f aca="false">IF(E12=0,"-",E24/E12)</f>
        <v>1.07746478873239</v>
      </c>
      <c r="F28" s="37" t="n">
        <f aca="false">IF(F12=0,"-",F24/F12)</f>
        <v>0.933035714285714</v>
      </c>
      <c r="G28" s="37" t="n">
        <f aca="false">IF(G12=0,"-",G24/G12)</f>
        <v>0.882978723404255</v>
      </c>
      <c r="H28" s="37" t="n">
        <f aca="false">IF(H12=0,"-",H24/H12)</f>
        <v>0.996385542168675</v>
      </c>
      <c r="I28" s="37" t="n">
        <f aca="false">IF(I12=0,"-",I24/I12)</f>
        <v>0.975442043222004</v>
      </c>
    </row>
    <row r="29" customFormat="false" ht="30" hidden="false" customHeight="true" outlineLevel="0" collapsed="false">
      <c r="B29" s="34" t="s">
        <v>371</v>
      </c>
      <c r="C29" s="9" t="s">
        <v>372</v>
      </c>
      <c r="D29" s="39" t="n">
        <f aca="false">D12-D24</f>
        <v>50</v>
      </c>
      <c r="E29" s="39" t="n">
        <f aca="false">E12-E24</f>
        <v>-110</v>
      </c>
      <c r="F29" s="39" t="n">
        <f aca="false">F12-F24</f>
        <v>75</v>
      </c>
      <c r="G29" s="39" t="n">
        <f aca="false">G12-G24</f>
        <v>110</v>
      </c>
      <c r="H29" s="39" t="n">
        <f aca="false">H12-H24</f>
        <v>15</v>
      </c>
      <c r="I29" s="39" t="n">
        <f aca="false">I12-I24</f>
        <v>125</v>
      </c>
    </row>
    <row r="30" customFormat="false" ht="60" hidden="false" customHeight="true" outlineLevel="0" collapsed="false">
      <c r="B30" s="34" t="s">
        <v>373</v>
      </c>
      <c r="C30" s="42" t="s">
        <v>374</v>
      </c>
      <c r="D30" s="41" t="str">
        <f aca="false">IF(D12=0,"-",IF(D28&lt;0.5,"Band I – Low",IF(D28&lt;0.8,"Band II – Moderate",IF(D28&lt;=1.2,"Band III – Balanced","Band IV – Exceeds receipts"))))</f>
        <v>Band III – Balanced</v>
      </c>
      <c r="E30" s="41" t="str">
        <f aca="false">IF(E12=0,"-",IF(E28&lt;0.5,"Band I – Low",IF(E28&lt;0.8,"Band II – Moderate",IF(E28&lt;=1.2,"Band III – Balanced","Band IV – Exceeds receipts"))))</f>
        <v>Band III – Balanced</v>
      </c>
      <c r="F30" s="41" t="str">
        <f aca="false">IF(F12=0,"-",IF(F28&lt;0.5,"Band I – Low",IF(F28&lt;0.8,"Band II – Moderate",IF(F28&lt;=1.2,"Band III – Balanced","Band IV – Exceeds receipts"))))</f>
        <v>Band III – Balanced</v>
      </c>
      <c r="G30" s="41" t="str">
        <f aca="false">IF(G12=0,"-",IF(G28&lt;0.5,"Band I – Low",IF(G28&lt;0.8,"Band II – Moderate",IF(G28&lt;=1.2,"Band III – Balanced","Band IV – Exceeds receipts"))))</f>
        <v>Band III – Balanced</v>
      </c>
      <c r="H30" s="41" t="str">
        <f aca="false">IF(H12=0,"-",IF(H28&lt;0.5,"Band I – Low",IF(H28&lt;0.8,"Band II – Moderate",IF(H28&lt;=1.2,"Band III – Balanced","Band IV – Exceeds receipts"))))</f>
        <v>Band III – Balanced</v>
      </c>
      <c r="I30" s="41" t="str">
        <f aca="false">IF(I12=0,"-",IF(I28&lt;0.5,"Band I – Low",IF(I28&lt;0.8,"Band II – Moderate",IF(I28&lt;=1.2,"Band III – Balanced","Band IV – Exceeds receipts"))))</f>
        <v>Band III – Balanced</v>
      </c>
    </row>
    <row r="32" customFormat="false" ht="30" hidden="false" customHeight="true" outlineLevel="0" collapsed="false">
      <c r="B32" s="6" t="s">
        <v>375</v>
      </c>
      <c r="C32" s="6"/>
      <c r="D32" s="6"/>
      <c r="E32" s="6"/>
      <c r="F32" s="6"/>
      <c r="G32" s="6"/>
      <c r="H32" s="6"/>
      <c r="I32" s="6"/>
    </row>
    <row r="33" customFormat="false" ht="170.25" hidden="false" customHeight="true" outlineLevel="0" collapsed="false">
      <c r="B33" s="7" t="s">
        <v>376</v>
      </c>
      <c r="C33" s="7"/>
      <c r="D33" s="7"/>
      <c r="E33" s="7"/>
      <c r="F33" s="7"/>
      <c r="G33" s="7"/>
      <c r="H33" s="7"/>
      <c r="I33" s="7"/>
    </row>
  </sheetData>
  <mergeCells count="7">
    <mergeCell ref="B2:I2"/>
    <mergeCell ref="B3:I3"/>
    <mergeCell ref="B5:I5"/>
    <mergeCell ref="B14:I14"/>
    <mergeCell ref="B26:I26"/>
    <mergeCell ref="B32:I32"/>
    <mergeCell ref="B33:I3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J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5" topLeftCell="D6" activePane="bottomRight" state="frozen"/>
      <selection pane="topLeft" activeCell="A1" activeCellId="0" sqref="A1"/>
      <selection pane="topRight" activeCell="D1" activeCellId="0" sqref="D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7"/>
    <col collapsed="false" customWidth="true" hidden="false" outlineLevel="0" max="3" min="3" style="0" width="48"/>
    <col collapsed="false" customWidth="true" hidden="false" outlineLevel="0" max="4" min="4" style="0" width="40"/>
    <col collapsed="false" customWidth="true" hidden="false" outlineLevel="0" max="8" min="5" style="0" width="15"/>
    <col collapsed="false" customWidth="true" hidden="false" outlineLevel="0" max="9" min="9" style="0" width="24"/>
    <col collapsed="false" customWidth="true" hidden="false" outlineLevel="0" max="10" min="10" style="0" width="30"/>
  </cols>
  <sheetData>
    <row r="2" customFormat="false" ht="43.5" hidden="false" customHeight="true" outlineLevel="0" collapsed="false">
      <c r="B2" s="18" t="s">
        <v>377</v>
      </c>
      <c r="C2" s="18"/>
      <c r="D2" s="18"/>
      <c r="E2" s="18"/>
      <c r="F2" s="18"/>
      <c r="G2" s="18"/>
      <c r="H2" s="18"/>
      <c r="I2" s="18"/>
      <c r="J2" s="18"/>
    </row>
    <row r="3" customFormat="false" ht="48" hidden="false" customHeight="true" outlineLevel="0" collapsed="false">
      <c r="B3" s="19" t="s">
        <v>378</v>
      </c>
      <c r="C3" s="19"/>
      <c r="D3" s="19"/>
      <c r="E3" s="19"/>
      <c r="F3" s="19"/>
      <c r="G3" s="19"/>
      <c r="H3" s="19"/>
      <c r="I3" s="19"/>
      <c r="J3" s="19"/>
    </row>
    <row r="5" customFormat="false" ht="57.75" hidden="false" customHeight="true" outlineLevel="0" collapsed="false">
      <c r="B5" s="8" t="s">
        <v>151</v>
      </c>
      <c r="C5" s="8" t="s">
        <v>379</v>
      </c>
      <c r="D5" s="8" t="s">
        <v>380</v>
      </c>
      <c r="E5" s="8" t="s">
        <v>228</v>
      </c>
      <c r="F5" s="8" t="s">
        <v>229</v>
      </c>
      <c r="G5" s="8" t="s">
        <v>230</v>
      </c>
      <c r="H5" s="8" t="s">
        <v>231</v>
      </c>
      <c r="I5" s="8" t="s">
        <v>381</v>
      </c>
      <c r="J5" s="8" t="s">
        <v>382</v>
      </c>
    </row>
    <row r="6" customFormat="false" ht="68.25" hidden="false" customHeight="true" outlineLevel="0" collapsed="false">
      <c r="B6" s="22" t="n">
        <v>1</v>
      </c>
      <c r="C6" s="9" t="s">
        <v>383</v>
      </c>
      <c r="D6" s="9" t="s">
        <v>384</v>
      </c>
      <c r="E6" s="50" t="s">
        <v>385</v>
      </c>
      <c r="F6" s="50" t="s">
        <v>385</v>
      </c>
      <c r="G6" s="50" t="s">
        <v>385</v>
      </c>
      <c r="H6" s="50" t="s">
        <v>385</v>
      </c>
      <c r="I6" s="9" t="s">
        <v>386</v>
      </c>
      <c r="J6" s="25"/>
    </row>
    <row r="7" customFormat="false" ht="68.25" hidden="false" customHeight="true" outlineLevel="0" collapsed="false">
      <c r="B7" s="22" t="n">
        <v>2</v>
      </c>
      <c r="C7" s="9" t="s">
        <v>387</v>
      </c>
      <c r="D7" s="9" t="s">
        <v>388</v>
      </c>
      <c r="E7" s="50" t="s">
        <v>385</v>
      </c>
      <c r="F7" s="50" t="s">
        <v>385</v>
      </c>
      <c r="G7" s="50" t="s">
        <v>385</v>
      </c>
      <c r="H7" s="50" t="s">
        <v>385</v>
      </c>
      <c r="I7" s="9" t="s">
        <v>44</v>
      </c>
      <c r="J7" s="25"/>
    </row>
    <row r="8" customFormat="false" ht="48" hidden="false" customHeight="true" outlineLevel="0" collapsed="false">
      <c r="B8" s="22" t="n">
        <v>3</v>
      </c>
      <c r="C8" s="9" t="s">
        <v>389</v>
      </c>
      <c r="D8" s="9" t="s">
        <v>390</v>
      </c>
      <c r="E8" s="50" t="s">
        <v>385</v>
      </c>
      <c r="F8" s="50" t="s">
        <v>385</v>
      </c>
      <c r="G8" s="50" t="s">
        <v>385</v>
      </c>
      <c r="H8" s="50" t="s">
        <v>385</v>
      </c>
      <c r="I8" s="9" t="s">
        <v>26</v>
      </c>
      <c r="J8" s="25"/>
    </row>
    <row r="9" customFormat="false" ht="48" hidden="false" customHeight="true" outlineLevel="0" collapsed="false">
      <c r="B9" s="22" t="n">
        <v>4</v>
      </c>
      <c r="C9" s="9" t="s">
        <v>391</v>
      </c>
      <c r="D9" s="9" t="s">
        <v>392</v>
      </c>
      <c r="E9" s="50" t="s">
        <v>385</v>
      </c>
      <c r="F9" s="50" t="s">
        <v>385</v>
      </c>
      <c r="G9" s="50" t="s">
        <v>385</v>
      </c>
      <c r="H9" s="50" t="s">
        <v>385</v>
      </c>
      <c r="I9" s="9" t="s">
        <v>26</v>
      </c>
      <c r="J9" s="25"/>
    </row>
    <row r="10" customFormat="false" ht="48" hidden="false" customHeight="true" outlineLevel="0" collapsed="false">
      <c r="B10" s="22" t="n">
        <v>5</v>
      </c>
      <c r="C10" s="9" t="s">
        <v>393</v>
      </c>
      <c r="D10" s="9" t="s">
        <v>394</v>
      </c>
      <c r="E10" s="50" t="s">
        <v>385</v>
      </c>
      <c r="F10" s="50" t="s">
        <v>385</v>
      </c>
      <c r="G10" s="50" t="s">
        <v>385</v>
      </c>
      <c r="H10" s="50" t="s">
        <v>385</v>
      </c>
      <c r="I10" s="9" t="s">
        <v>26</v>
      </c>
      <c r="J10" s="25"/>
    </row>
    <row r="11" customFormat="false" ht="48" hidden="false" customHeight="true" outlineLevel="0" collapsed="false">
      <c r="B11" s="22" t="n">
        <v>6</v>
      </c>
      <c r="C11" s="9" t="s">
        <v>395</v>
      </c>
      <c r="D11" s="9" t="s">
        <v>396</v>
      </c>
      <c r="E11" s="50" t="s">
        <v>385</v>
      </c>
      <c r="F11" s="50" t="s">
        <v>385</v>
      </c>
      <c r="G11" s="50" t="s">
        <v>385</v>
      </c>
      <c r="H11" s="50" t="s">
        <v>385</v>
      </c>
      <c r="I11" s="9" t="s">
        <v>397</v>
      </c>
      <c r="J11" s="25"/>
    </row>
    <row r="12" customFormat="false" ht="27.75" hidden="false" customHeight="true" outlineLevel="0" collapsed="false">
      <c r="B12" s="22" t="n">
        <v>7</v>
      </c>
      <c r="C12" s="9" t="s">
        <v>398</v>
      </c>
      <c r="D12" s="9" t="s">
        <v>399</v>
      </c>
      <c r="E12" s="50" t="s">
        <v>385</v>
      </c>
      <c r="F12" s="50" t="s">
        <v>385</v>
      </c>
      <c r="G12" s="50" t="s">
        <v>385</v>
      </c>
      <c r="H12" s="50" t="s">
        <v>385</v>
      </c>
      <c r="I12" s="9" t="s">
        <v>26</v>
      </c>
      <c r="J12" s="25"/>
    </row>
    <row r="13" customFormat="false" ht="48" hidden="false" customHeight="true" outlineLevel="0" collapsed="false">
      <c r="B13" s="22" t="n">
        <v>8</v>
      </c>
      <c r="C13" s="9" t="s">
        <v>400</v>
      </c>
      <c r="D13" s="9" t="s">
        <v>401</v>
      </c>
      <c r="E13" s="50" t="s">
        <v>385</v>
      </c>
      <c r="F13" s="50" t="s">
        <v>385</v>
      </c>
      <c r="G13" s="50" t="s">
        <v>385</v>
      </c>
      <c r="H13" s="50" t="s">
        <v>385</v>
      </c>
      <c r="I13" s="9" t="s">
        <v>402</v>
      </c>
      <c r="J13" s="25"/>
    </row>
    <row r="14" customFormat="false" ht="48" hidden="false" customHeight="true" outlineLevel="0" collapsed="false">
      <c r="B14" s="22" t="n">
        <v>9</v>
      </c>
      <c r="C14" s="9" t="s">
        <v>403</v>
      </c>
      <c r="D14" s="9" t="s">
        <v>404</v>
      </c>
      <c r="E14" s="50" t="s">
        <v>385</v>
      </c>
      <c r="F14" s="50" t="s">
        <v>385</v>
      </c>
      <c r="G14" s="50" t="s">
        <v>385</v>
      </c>
      <c r="H14" s="50" t="s">
        <v>385</v>
      </c>
      <c r="I14" s="9" t="s">
        <v>26</v>
      </c>
      <c r="J14" s="25"/>
    </row>
    <row r="15" customFormat="false" ht="48" hidden="false" customHeight="true" outlineLevel="0" collapsed="false">
      <c r="B15" s="22" t="n">
        <v>10</v>
      </c>
      <c r="C15" s="9" t="s">
        <v>405</v>
      </c>
      <c r="D15" s="9" t="s">
        <v>406</v>
      </c>
      <c r="E15" s="50" t="s">
        <v>385</v>
      </c>
      <c r="F15" s="50" t="s">
        <v>385</v>
      </c>
      <c r="G15" s="50" t="s">
        <v>385</v>
      </c>
      <c r="H15" s="50" t="s">
        <v>385</v>
      </c>
      <c r="I15" s="9" t="s">
        <v>407</v>
      </c>
      <c r="J15" s="25"/>
    </row>
    <row r="16" customFormat="false" ht="48" hidden="false" customHeight="true" outlineLevel="0" collapsed="false">
      <c r="B16" s="22" t="n">
        <v>11</v>
      </c>
      <c r="C16" s="9" t="s">
        <v>408</v>
      </c>
      <c r="D16" s="9" t="s">
        <v>409</v>
      </c>
      <c r="E16" s="50" t="s">
        <v>385</v>
      </c>
      <c r="F16" s="50" t="s">
        <v>385</v>
      </c>
      <c r="G16" s="50" t="s">
        <v>385</v>
      </c>
      <c r="H16" s="50" t="s">
        <v>385</v>
      </c>
      <c r="I16" s="9" t="s">
        <v>410</v>
      </c>
      <c r="J16" s="25"/>
    </row>
    <row r="17" customFormat="false" ht="48" hidden="false" customHeight="true" outlineLevel="0" collapsed="false">
      <c r="B17" s="22" t="n">
        <v>12</v>
      </c>
      <c r="C17" s="9" t="s">
        <v>411</v>
      </c>
      <c r="D17" s="9" t="s">
        <v>412</v>
      </c>
      <c r="E17" s="50" t="s">
        <v>385</v>
      </c>
      <c r="F17" s="50" t="s">
        <v>385</v>
      </c>
      <c r="G17" s="50" t="s">
        <v>385</v>
      </c>
      <c r="H17" s="50" t="s">
        <v>385</v>
      </c>
      <c r="I17" s="9" t="s">
        <v>99</v>
      </c>
      <c r="J17" s="25"/>
    </row>
    <row r="18" customFormat="false" ht="30" hidden="false" customHeight="true" outlineLevel="0" collapsed="false">
      <c r="B18" s="32"/>
      <c r="C18" s="48" t="s">
        <v>413</v>
      </c>
      <c r="D18" s="32"/>
      <c r="E18" s="8" t="str">
        <f aca="false">COUNTIF(E6:E17,"Available")&amp;" / "&amp;(12-COUNTIF(E6:E17,"Not Applicable"))</f>
        <v>0 / 12</v>
      </c>
      <c r="F18" s="8" t="str">
        <f aca="false">COUNTIF(F6:F17,"Available")&amp;" / "&amp;(12-COUNTIF(F6:F17,"Not Applicable"))</f>
        <v>0 / 12</v>
      </c>
      <c r="G18" s="8" t="str">
        <f aca="false">COUNTIF(G6:G17,"Available")&amp;" / "&amp;(12-COUNTIF(G6:G17,"Not Applicable"))</f>
        <v>0 / 12</v>
      </c>
      <c r="H18" s="8" t="str">
        <f aca="false">COUNTIF(H6:H17,"Available")&amp;" / "&amp;(12-COUNTIF(H6:H17,"Not Applicable"))</f>
        <v>0 / 12</v>
      </c>
      <c r="I18" s="32"/>
      <c r="J18" s="32"/>
    </row>
  </sheetData>
  <mergeCells count="2">
    <mergeCell ref="B2:J2"/>
    <mergeCell ref="B3:J3"/>
  </mergeCells>
  <conditionalFormatting sqref="E6:H17">
    <cfRule type="cellIs" priority="2" operator="equal" aboveAverage="0" equalAverage="0" bottom="0" percent="0" rank="0" text="" dxfId="0">
      <formula>"Available"</formula>
    </cfRule>
    <cfRule type="cellIs" priority="3" operator="equal" aboveAverage="0" equalAverage="0" bottom="0" percent="0" rank="0" text="" dxfId="1">
      <formula>"Pending"</formula>
    </cfRule>
  </conditionalFormatting>
  <dataValidations count="1">
    <dataValidation allowBlank="true" errorStyle="stop" operator="between" showDropDown="false" showErrorMessage="false" showInputMessage="false" sqref="E6:H17" type="list">
      <formula1>"Available,Pending,Not Applicable"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B2: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
    <col collapsed="false" customWidth="true" hidden="false" outlineLevel="0" max="3" min="3" style="0" width="30"/>
    <col collapsed="false" customWidth="true" hidden="false" outlineLevel="0" max="6" min="4" style="0" width="32"/>
  </cols>
  <sheetData>
    <row r="2" customFormat="false" ht="43.5" hidden="false" customHeight="true" outlineLevel="0" collapsed="false">
      <c r="B2" s="18" t="s">
        <v>414</v>
      </c>
      <c r="C2" s="18"/>
      <c r="D2" s="18"/>
      <c r="E2" s="18"/>
      <c r="F2" s="18"/>
    </row>
    <row r="3" customFormat="false" ht="26.25" hidden="false" customHeight="true" outlineLevel="0" collapsed="false">
      <c r="B3" s="51" t="s">
        <v>415</v>
      </c>
      <c r="C3" s="51"/>
      <c r="D3" s="51"/>
      <c r="E3" s="51"/>
      <c r="F3" s="51"/>
    </row>
    <row r="5" customFormat="false" ht="48" hidden="false" customHeight="true" outlineLevel="0" collapsed="false">
      <c r="B5" s="7" t="s">
        <v>416</v>
      </c>
      <c r="C5" s="7"/>
      <c r="D5" s="7"/>
      <c r="E5" s="7"/>
      <c r="F5" s="7"/>
    </row>
    <row r="6" customFormat="false" ht="48" hidden="false" customHeight="true" outlineLevel="0" collapsed="false">
      <c r="B6" s="52" t="s">
        <v>417</v>
      </c>
      <c r="C6" s="52"/>
      <c r="D6" s="52"/>
      <c r="E6" s="52"/>
      <c r="F6" s="52"/>
    </row>
    <row r="8" customFormat="false" ht="129.75" hidden="false" customHeight="true" outlineLevel="0" collapsed="false">
      <c r="B8" s="7" t="s">
        <v>418</v>
      </c>
      <c r="C8" s="7"/>
      <c r="D8" s="7"/>
      <c r="E8" s="7"/>
      <c r="F8" s="7"/>
    </row>
    <row r="10" customFormat="false" ht="57.75" hidden="false" customHeight="true" outlineLevel="0" collapsed="false">
      <c r="B10" s="8" t="s">
        <v>419</v>
      </c>
      <c r="C10" s="8" t="s">
        <v>420</v>
      </c>
      <c r="D10" s="8" t="s">
        <v>421</v>
      </c>
      <c r="E10" s="8" t="s">
        <v>422</v>
      </c>
      <c r="F10" s="8" t="s">
        <v>161</v>
      </c>
    </row>
    <row r="11" customFormat="false" ht="27.75" hidden="false" customHeight="true" outlineLevel="0" collapsed="false">
      <c r="B11" s="22" t="n">
        <v>1</v>
      </c>
      <c r="C11" s="22" t="s">
        <v>228</v>
      </c>
      <c r="D11" s="53" t="n">
        <f aca="false">'5. Summary &amp; Ratio'!D7</f>
        <v>0</v>
      </c>
      <c r="E11" s="53" t="n">
        <f aca="false">'5. Summary &amp; Ratio'!D8</f>
        <v>0</v>
      </c>
      <c r="F11" s="54" t="str">
        <f aca="false">IF(D11=0,"-",E11/D11)</f>
        <v>-</v>
      </c>
    </row>
    <row r="12" customFormat="false" ht="27.75" hidden="false" customHeight="true" outlineLevel="0" collapsed="false">
      <c r="B12" s="22" t="n">
        <v>2</v>
      </c>
      <c r="C12" s="22" t="s">
        <v>229</v>
      </c>
      <c r="D12" s="53" t="n">
        <f aca="false">'5. Summary &amp; Ratio'!E7</f>
        <v>0</v>
      </c>
      <c r="E12" s="53" t="n">
        <f aca="false">'5. Summary &amp; Ratio'!E8</f>
        <v>0</v>
      </c>
      <c r="F12" s="54" t="str">
        <f aca="false">IF(D12=0,"-",E12/D12)</f>
        <v>-</v>
      </c>
    </row>
    <row r="13" customFormat="false" ht="27.75" hidden="false" customHeight="true" outlineLevel="0" collapsed="false">
      <c r="B13" s="22" t="n">
        <v>3</v>
      </c>
      <c r="C13" s="22" t="s">
        <v>230</v>
      </c>
      <c r="D13" s="53" t="n">
        <f aca="false">'5. Summary &amp; Ratio'!F7</f>
        <v>0</v>
      </c>
      <c r="E13" s="53" t="n">
        <f aca="false">'5. Summary &amp; Ratio'!F8</f>
        <v>0</v>
      </c>
      <c r="F13" s="54" t="str">
        <f aca="false">IF(D13=0,"-",E13/D13)</f>
        <v>-</v>
      </c>
    </row>
    <row r="14" customFormat="false" ht="27.75" hidden="false" customHeight="true" outlineLevel="0" collapsed="false">
      <c r="B14" s="22" t="n">
        <v>4</v>
      </c>
      <c r="C14" s="22" t="s">
        <v>231</v>
      </c>
      <c r="D14" s="53" t="n">
        <f aca="false">'5. Summary &amp; Ratio'!G7</f>
        <v>0</v>
      </c>
      <c r="E14" s="53" t="n">
        <f aca="false">'5. Summary &amp; Ratio'!G8</f>
        <v>0</v>
      </c>
      <c r="F14" s="54" t="str">
        <f aca="false">IF(D14=0,"-",E14/D14)</f>
        <v>-</v>
      </c>
    </row>
    <row r="15" customFormat="false" ht="45" hidden="false" customHeight="true" outlineLevel="0" collapsed="false">
      <c r="B15" s="55"/>
      <c r="C15" s="55" t="s">
        <v>423</v>
      </c>
      <c r="D15" s="56" t="n">
        <f aca="false">SUM(D11:D13)</f>
        <v>0</v>
      </c>
      <c r="E15" s="56" t="n">
        <f aca="false">SUM(E11:E13)</f>
        <v>0</v>
      </c>
      <c r="F15" s="57" t="str">
        <f aca="false">IF(D15=0,"-",E15/D15)</f>
        <v>-</v>
      </c>
    </row>
    <row r="17" customFormat="false" ht="88.5" hidden="false" customHeight="true" outlineLevel="0" collapsed="false">
      <c r="B17" s="7" t="s">
        <v>424</v>
      </c>
      <c r="C17" s="7"/>
      <c r="D17" s="7"/>
      <c r="E17" s="7"/>
      <c r="F17" s="7"/>
    </row>
    <row r="20" customFormat="false" ht="25.5" hidden="false" customHeight="true" outlineLevel="0" collapsed="false">
      <c r="B20" s="58" t="s">
        <v>425</v>
      </c>
      <c r="C20" s="58"/>
      <c r="D20" s="58"/>
      <c r="E20" s="59" t="s">
        <v>426</v>
      </c>
      <c r="F20" s="59"/>
    </row>
    <row r="21" customFormat="false" ht="25.5" hidden="false" customHeight="true" outlineLevel="0" collapsed="false">
      <c r="B21" s="58" t="s">
        <v>427</v>
      </c>
      <c r="C21" s="58"/>
      <c r="D21" s="58"/>
      <c r="E21" s="59" t="s">
        <v>428</v>
      </c>
      <c r="F21" s="59"/>
    </row>
    <row r="22" customFormat="false" ht="25.5" hidden="false" customHeight="true" outlineLevel="0" collapsed="false">
      <c r="B22" s="58"/>
      <c r="C22" s="58"/>
      <c r="D22" s="58"/>
      <c r="E22" s="59" t="s">
        <v>429</v>
      </c>
      <c r="F22" s="59"/>
    </row>
    <row r="23" customFormat="false" ht="25.5" hidden="false" customHeight="true" outlineLevel="0" collapsed="false">
      <c r="B23" s="58" t="s">
        <v>430</v>
      </c>
      <c r="C23" s="58"/>
      <c r="D23" s="58"/>
      <c r="E23" s="59" t="s">
        <v>430</v>
      </c>
      <c r="F23" s="59"/>
    </row>
    <row r="24" customFormat="false" ht="25.5" hidden="false" customHeight="true" outlineLevel="0" collapsed="false">
      <c r="B24" s="58" t="s">
        <v>431</v>
      </c>
      <c r="C24" s="58"/>
      <c r="D24" s="58"/>
      <c r="E24" s="59"/>
      <c r="F24" s="59"/>
    </row>
    <row r="25" customFormat="false" ht="25.5" hidden="false" customHeight="true" outlineLevel="0" collapsed="false">
      <c r="B25" s="58" t="s">
        <v>432</v>
      </c>
      <c r="C25" s="58"/>
      <c r="D25" s="58"/>
      <c r="E25" s="59"/>
      <c r="F25" s="59"/>
    </row>
    <row r="27" customFormat="false" ht="45" hidden="false" customHeight="true" outlineLevel="0" collapsed="false">
      <c r="B27" s="60" t="s">
        <v>433</v>
      </c>
      <c r="C27" s="60"/>
      <c r="D27" s="60"/>
      <c r="E27" s="60"/>
      <c r="F27" s="60"/>
    </row>
  </sheetData>
  <mergeCells count="19">
    <mergeCell ref="B2:F2"/>
    <mergeCell ref="B3:F3"/>
    <mergeCell ref="B5:F5"/>
    <mergeCell ref="B6:F6"/>
    <mergeCell ref="B8:F8"/>
    <mergeCell ref="B17:F17"/>
    <mergeCell ref="B20:D20"/>
    <mergeCell ref="E20:F20"/>
    <mergeCell ref="B21:D21"/>
    <mergeCell ref="E21:F21"/>
    <mergeCell ref="B22:D22"/>
    <mergeCell ref="E22:F22"/>
    <mergeCell ref="B23:D23"/>
    <mergeCell ref="E23:F23"/>
    <mergeCell ref="B24:D24"/>
    <mergeCell ref="E24:F24"/>
    <mergeCell ref="B25:D25"/>
    <mergeCell ref="E25:F25"/>
    <mergeCell ref="B27:F27"/>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2026-10-16T08:14:58Z</dcterms:created>
  <dc:creator>openpyxl</dc:creator>
  <dc:description/>
  <dc:language>en-US</dc:language>
  <cp:lastModifiedBy/>
  <dcterms:modified xsi:type="dcterms:W3CDTF">2026-10-16T08:15:01Z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