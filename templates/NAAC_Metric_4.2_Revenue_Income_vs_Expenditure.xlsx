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over" sheetId="1" state="visible" r:id="rId3"/>
    <sheet name="2. Guidelines" sheetId="2" state="visible" r:id="rId4"/>
    <sheet name="3. Revenue Income" sheetId="3" state="visible" r:id="rId5"/>
    <sheet name="4. Revenue Expenditure" sheetId="4" state="visible" r:id="rId6"/>
    <sheet name="5. Summary &amp; Ratio" sheetId="5" state="visible" r:id="rId7"/>
    <sheet name="6. Worked Example" sheetId="6" state="visible" r:id="rId8"/>
    <sheet name="7. Document Checklist" sheetId="7" state="visible" r:id="rId9"/>
    <sheet name="8. CA Certificate" sheetId="8" state="visible" r:id="rId10"/>
  </sheets>
  <definedNames>
    <definedName function="false" hidden="false" localSheetId="2" name="_xlnm.Print_Titles" vbProcedure="false">'3. Revenue Income'!$5:$5</definedName>
    <definedName function="false" hidden="false" localSheetId="3" name="_xlnm.Print_Titles" vbProcedure="false">'4. Revenue Expenditure'!$5:$5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<sst xmlns="http://schemas.openxmlformats.org/spreadsheetml/2006/main" count="774" uniqueCount="498">
  <si>
    <t xml:space="preserve">[UNIVERSITY NAME]</t>
  </si>
  <si>
    <t xml:space="preserve">Internal Quality Assurance Cell (IQAC)</t>
  </si>
  <si>
    <t xml:space="preserve">NAAC Binary Accreditation Framework  |  Attribute 4 – Financial Resources &amp; Management (50)</t>
  </si>
  <si>
    <t xml:space="preserve">Metric 4.2 – Ratio of Revenue Income vs Revenue Expenditure   (Weightage: 15)</t>
  </si>
  <si>
    <t xml:space="preserve">Data Capture, Computation &amp; Evidence Workbook  •  Financial Years 2025-26, 2024-25, 2023-24 and 2022-23  •  All amounts in INR Lakhs</t>
  </si>
  <si>
    <t xml:space="preserve">ABSTRACT</t>
  </si>
  <si>
    <t xml:space="preserve">This workbook is the institutional tool for preparing NAAC Metric 4.2 – Ratio of Revenue Income vs Revenue Expenditure. It captures, head-wise, every recurring (revenue) income of the University – fees, R&amp;D grants, salary grants, alumni contribution, consultancy, endowment income, scholarships and other operating receipts – and every recurring (revenue) expenditure – salaries, maintenance, administration, scholarships &amp; assistance, electricity, transport, career guidance &amp; skilling, employee benefits and extracurricular / co-curricular activities – for four financial years: 2025-26, 2024-25, 2023-24 and 2022-23.
All totals, ratios and interpretations are calculated automatically. The Summary sheet reproduces the figures in the exact NAAC data-template format for the three-year assessment period (FY 2023-24 to 2025-26), with FY 2022-23 retained as a baseline year for trend analysis. Guidelines, a worked example, an evidence checklist and a Chartered Accountant (CA) certificate format are included so that the figures submitted are complete, consistent with Metric 4.1 and Metric 3.2, and fully traceable to audited accounts.</t>
  </si>
  <si>
    <t xml:space="preserve">INTRODUCTION</t>
  </si>
  <si>
    <t xml:space="preserve">Why this metric matters: Metric 4.2 tests the operational financial health of the institution – whether its day-to-day income is sufficient to meet its day-to-day running costs. An institution whose revenue income consistently covers its revenue expenditure is self-sustaining, can pay salaries and maintain services without depending on borrowings, and can generate a surplus for reinvestment in infrastructure (Metric 4.1) and corpus (Metric 4.3).
What is compared:
•  Revenue Income – recurring income from fees, R&amp;D grants, salary grants, alumni contribution, consultancy, endowments, scholarships etc.
•  Revenue Expenditure – recurring spending on salaries, maintenance, administration, scholarships &amp; assistance, electricity, transport, career guidance &amp; skilling, employee benefits, extracurricular and co-curricular activities etc.
How it is presented: For each financial year, NAAC asks for (1) the total revenue income and (2) the total revenue expenditure, both in INR Lakhs, supported by audited statements certified by a CA and countersigned by the competent authority.
Link with other metrics: Metric 4.2 covers only revenue (recurring) items. Capital receipts and asset creation belong to Metric 4.1. Revenue expenditure excluding salaries feeds into 'Total expenditure excluding salary' used in Metric 3.2.</t>
  </si>
  <si>
    <t xml:space="preserve">OBJECTIVES OF THIS WORKBOOK</t>
  </si>
  <si>
    <t xml:space="preserve">1.  Provide a single, standard format for recording revenue income and expenditure head-wise for four financial years.
2.  Compute the Revenue Coverage Ratio, operating surplus/deficit, surplus margin, fee dependency, salary share and year-on-year growth automatically.
3.  Generate the NAAC data-template values for the assessment period without manual re-typing.
4.  Provide the 'expenditure excluding salary' figure needed for Metric 3.2.
5.  Link every figure to its source in the audited accounts and track all supporting documents.</t>
  </si>
  <si>
    <t xml:space="preserve">WORKBOOK STRUCTURE</t>
  </si>
  <si>
    <t xml:space="preserve">Sheet</t>
  </si>
  <si>
    <t xml:space="preserve">Purpose</t>
  </si>
  <si>
    <t xml:space="preserve">Who fills / uses</t>
  </si>
  <si>
    <t xml:space="preserve">Action required</t>
  </si>
  <si>
    <t xml:space="preserve">1. Cover</t>
  </si>
  <si>
    <t xml:space="preserve">Abstract, introduction, objectives and structure</t>
  </si>
  <si>
    <t xml:space="preserve">All users</t>
  </si>
  <si>
    <t xml:space="preserve">Read first</t>
  </si>
  <si>
    <t xml:space="preserve">2. Guidelines</t>
  </si>
  <si>
    <t xml:space="preserve">Definitions, include/exclude rules, procedure, formulas, interpretation bands, documents and common errors</t>
  </si>
  <si>
    <t xml:space="preserve">Finance Office &amp; IQAC</t>
  </si>
  <si>
    <t xml:space="preserve">Read before entering data</t>
  </si>
  <si>
    <t xml:space="preserve">3. Revenue Income</t>
  </si>
  <si>
    <t xml:space="preserve">Head-wise recurring income for each FY with audit reference</t>
  </si>
  <si>
    <t xml:space="preserve">Finance Office</t>
  </si>
  <si>
    <t xml:space="preserve">Enter figures in cream cells</t>
  </si>
  <si>
    <t xml:space="preserve">4. Revenue Expenditure</t>
  </si>
  <si>
    <t xml:space="preserve">Head-wise recurring expenditure for each FY with audit reference</t>
  </si>
  <si>
    <t xml:space="preserve">5. Summary &amp; Ratio</t>
  </si>
  <si>
    <t xml:space="preserve">NAAC data template, ratios, interpretation, composition, 3.2 linkage and chart</t>
  </si>
  <si>
    <t xml:space="preserve">IQAC (auto-calculated)</t>
  </si>
  <si>
    <t xml:space="preserve">Review only – no entry</t>
  </si>
  <si>
    <t xml:space="preserve">6. Worked Example</t>
  </si>
  <si>
    <t xml:space="preserve">Illustration with hypothetical figures explaining how to read the results</t>
  </si>
  <si>
    <t xml:space="preserve">Training / reference</t>
  </si>
  <si>
    <t xml:space="preserve">Read only</t>
  </si>
  <si>
    <t xml:space="preserve">7. Document Checklist</t>
  </si>
  <si>
    <t xml:space="preserve">Status of every supporting document, FY-wise</t>
  </si>
  <si>
    <t xml:space="preserve">IQAC &amp; Finance Office</t>
  </si>
  <si>
    <t xml:space="preserve">Select status from drop-down</t>
  </si>
  <si>
    <t xml:space="preserve">8. CA Certificate</t>
  </si>
  <si>
    <t xml:space="preserve">Certificate format pre-filled from the Summary, for CA signature</t>
  </si>
  <si>
    <t xml:space="preserve">CA / Finance Officer</t>
  </si>
  <si>
    <t xml:space="preserve">Print, verify and sign</t>
  </si>
  <si>
    <t xml:space="preserve">CELL COLOUR LEGEND</t>
  </si>
  <si>
    <t xml:space="preserve">Cream fill, blue text</t>
  </si>
  <si>
    <t xml:space="preserve">Input cell – enter data here (INR Lakhs, two decimals)</t>
  </si>
  <si>
    <t xml:space="preserve">Light navy fill, black text</t>
  </si>
  <si>
    <t xml:space="preserve">Formula / subtotal – do not overwrite</t>
  </si>
  <si>
    <t xml:space="preserve">Green text</t>
  </si>
  <si>
    <t xml:space="preserve">Value linked from another sheet – do not overwrite</t>
  </si>
  <si>
    <t xml:space="preserve">Navy fill, gold/white text</t>
  </si>
  <si>
    <t xml:space="preserve">Headings and sections</t>
  </si>
  <si>
    <t xml:space="preserve">Prepared by: IQAC, [University Name]   |   Version 1.0   |   Basis: NAAC Binary Accreditation Framework – Metrics for Manual (Base), Draft Version</t>
  </si>
  <si>
    <t xml:space="preserve">Note: The NAAC draft names the ratio but does not publish a scoring formula or bands. Interpretation bands in this workbook are indicative IQAC guidance; update them when NAAC notifies the final SOP.</t>
  </si>
  <si>
    <t xml:space="preserve">GUIDELINES FOR PREPARING METRIC 4.2</t>
  </si>
  <si>
    <t xml:space="preserve">G1.  ASSESSMENT PERIOD AND YEAR BASIS</t>
  </si>
  <si>
    <t xml:space="preserve">•  Use FINANCIAL YEARS (1 April – 31 March), not academic years.
•  NAAC assessment period = last three completed financial years: FY 2025-26 (Year-3, latest), FY 2024-25 (Year-2) and FY 2023-24 (Year-1).
•  FY 2022-23 is captured as a baseline year for trend analysis and as a reserve in case the notified window differs. It is NOT included in the NAAC three-year totals.
•  All amounts in INR Lakhs, rounded to two decimals (₹1,00,000 = 1.00 Lakh).
•  Take figures from the audited Income &amp; Expenditure Account (accrual basis) for consistency with the CA certificate.</t>
  </si>
  <si>
    <t xml:space="preserve">G2.  STEP-BY-STEP PROCEDURE</t>
  </si>
  <si>
    <t xml:space="preserve">Step</t>
  </si>
  <si>
    <t xml:space="preserve">Activity</t>
  </si>
  <si>
    <t xml:space="preserve">How to do it</t>
  </si>
  <si>
    <t xml:space="preserve">Responsibility / Output</t>
  </si>
  <si>
    <t xml:space="preserve">1</t>
  </si>
  <si>
    <t xml:space="preserve">Collect audited accounts</t>
  </si>
  <si>
    <t xml:space="preserve">Obtain audited Income &amp; Expenditure Account with all income and expenditure schedules for each of the four FYs</t>
  </si>
  <si>
    <t xml:space="preserve">Finance Office – signed audited statements</t>
  </si>
  <si>
    <t xml:space="preserve">2</t>
  </si>
  <si>
    <t xml:space="preserve">List revenue income</t>
  </si>
  <si>
    <t xml:space="preserve">Take every income line from the I&amp;E Account; exclude capital receipts (they belong to 4.1)</t>
  </si>
  <si>
    <t xml:space="preserve">Finance Office – working list</t>
  </si>
  <si>
    <t xml:space="preserve">3</t>
  </si>
  <si>
    <t xml:space="preserve">Classify income</t>
  </si>
  <si>
    <t xml:space="preserve">Map each income line to one head in Sheet 3 using G3</t>
  </si>
  <si>
    <t xml:space="preserve">4</t>
  </si>
  <si>
    <t xml:space="preserve">List revenue expenditure</t>
  </si>
  <si>
    <t xml:space="preserve">Take every expenditure line from the I&amp;E Account; exclude depreciation, provisions and capital items</t>
  </si>
  <si>
    <t xml:space="preserve">5</t>
  </si>
  <si>
    <t xml:space="preserve">Classify expenditure</t>
  </si>
  <si>
    <t xml:space="preserve">Map each line to one head in Sheet 4 using G4. Count every rupee once only</t>
  </si>
  <si>
    <t xml:space="preserve">6</t>
  </si>
  <si>
    <t xml:space="preserve">Enter data</t>
  </si>
  <si>
    <t xml:space="preserve">Type figures in cream cells only; write the schedule/page reference in 'Audit Reference'</t>
  </si>
  <si>
    <t xml:space="preserve">7</t>
  </si>
  <si>
    <t xml:space="preserve">Reconcile</t>
  </si>
  <si>
    <t xml:space="preserve">Check Sheet 5 Section E – totals must reconcile with the audited I&amp;E Account after the stated exclusions</t>
  </si>
  <si>
    <t xml:space="preserve">8</t>
  </si>
  <si>
    <t xml:space="preserve">Review results</t>
  </si>
  <si>
    <t xml:space="preserve">Check ratios, interpretation and consistency with 4.1 and 3.2</t>
  </si>
  <si>
    <t xml:space="preserve">IQAC Director</t>
  </si>
  <si>
    <t xml:space="preserve">9</t>
  </si>
  <si>
    <t xml:space="preserve">Obtain CA certificate</t>
  </si>
  <si>
    <t xml:space="preserve">Print Sheet 8; CA verifies and signs; Registrar / Finance Officer countersigns</t>
  </si>
  <si>
    <t xml:space="preserve">CA &amp; competent authority</t>
  </si>
  <si>
    <t xml:space="preserve">10</t>
  </si>
  <si>
    <t xml:space="preserve">Upload</t>
  </si>
  <si>
    <t xml:space="preserve">Enter Section A values on the NAAC portal; upload CA certificate and highlighted audited statements</t>
  </si>
  <si>
    <t xml:space="preserve">IQAC</t>
  </si>
  <si>
    <t xml:space="preserve">G3.  REVENUE INCOME – WHAT TO INCLUDE AND EXCLUDE</t>
  </si>
  <si>
    <t xml:space="preserve">Code</t>
  </si>
  <si>
    <t xml:space="preserve">Head</t>
  </si>
  <si>
    <t xml:space="preserve">Include</t>
  </si>
  <si>
    <t xml:space="preserve">Exclude / Where to look</t>
  </si>
  <si>
    <t xml:space="preserve">A</t>
  </si>
  <si>
    <t xml:space="preserve">Fees</t>
  </si>
  <si>
    <t xml:space="preserve">Tuition, development, examination, admission, hostel, mess and transport fees and other student fees (net of refunds)</t>
  </si>
  <si>
    <t xml:space="preserve">Exclude fee received in advance for the next FY; avoid double counting with government fee reimbursement (see Head G). Source: fee schedule of I&amp;E</t>
  </si>
  <si>
    <t xml:space="preserve">B</t>
  </si>
  <si>
    <t xml:space="preserve">R&amp;D grants</t>
  </si>
  <si>
    <t xml:space="preserve">Recurring research project grants and institutional overheads from funding agencies, recognised as income in the FY</t>
  </si>
  <si>
    <t xml:space="preserve">Exclude grants for equipment/buildings (go to 4.1). Source: sponsored-project ledger</t>
  </si>
  <si>
    <t xml:space="preserve">C</t>
  </si>
  <si>
    <t xml:space="preserve">Salary grants</t>
  </si>
  <si>
    <t xml:space="preserve">Government grants received towards salaries (if any)</t>
  </si>
  <si>
    <t xml:space="preserve">Not usually applicable to a self-financed private university – enter 0</t>
  </si>
  <si>
    <t xml:space="preserve">D</t>
  </si>
  <si>
    <t xml:space="preserve">Alumni contribution</t>
  </si>
  <si>
    <t xml:space="preserve">Alumni donations for recurring purposes (events, scholarships, prizes)</t>
  </si>
  <si>
    <t xml:space="preserve">Exclude alumni donations for capital assets (go to 4.1)</t>
  </si>
  <si>
    <t xml:space="preserve">E</t>
  </si>
  <si>
    <t xml:space="preserve">Consultancy &amp; training</t>
  </si>
  <si>
    <t xml:space="preserve">Consultancy fees, testing charges, MDP/EDP/FDP and corporate training fees</t>
  </si>
  <si>
    <t xml:space="preserve">Exclude amounts passed on to faculty as share if accounts show them net. Must reconcile with Metric 9.7</t>
  </si>
  <si>
    <t xml:space="preserve">F</t>
  </si>
  <si>
    <t xml:space="preserve">Endowment income</t>
  </si>
  <si>
    <t xml:space="preserve">Interest/income earned on endowment funds and credited to I&amp;E</t>
  </si>
  <si>
    <t xml:space="preserve">Exclude the endowment principal (capital)</t>
  </si>
  <si>
    <t xml:space="preserve">G</t>
  </si>
  <si>
    <t xml:space="preserve">Scholarships received</t>
  </si>
  <si>
    <t xml:space="preserve">Government / external scholarships and fee reimbursements received by the institution (e.g., Post-Matric, EBC, State schemes)</t>
  </si>
  <si>
    <t xml:space="preserve">Do not count again if already included in Fees (Head A) – show in one head only</t>
  </si>
  <si>
    <t xml:space="preserve">H</t>
  </si>
  <si>
    <t xml:space="preserve">Other revenue income</t>
  </si>
  <si>
    <t xml:space="preserve">Interest on investments/FDs, rent from facilities, sale of forms, application fees, miscellaneous income</t>
  </si>
  <si>
    <t xml:space="preserve">Exclude profit on sale of assets (non-recurring) unless shown in I&amp;E as income; mention in Remarks</t>
  </si>
  <si>
    <t xml:space="preserve">G4.  REVENUE EXPENDITURE – WHAT TO INCLUDE AND EXCLUDE</t>
  </si>
  <si>
    <t xml:space="preserve">Salaries</t>
  </si>
  <si>
    <t xml:space="preserve">Salaries and wages of teaching, non-teaching and contract staff, visiting faculty honorarium</t>
  </si>
  <si>
    <t xml:space="preserve">Exclude employer PF/gratuity/insurance – enter in Head 8</t>
  </si>
  <si>
    <t xml:space="preserve">Maintenance</t>
  </si>
  <si>
    <t xml:space="preserve">Repairs and maintenance of buildings, labs, equipment, IT, AMC, housekeeping, security, gardening</t>
  </si>
  <si>
    <t xml:space="preserve">Exclude any item capitalised in the Fixed Asset Schedule (goes to 4.1)</t>
  </si>
  <si>
    <t xml:space="preserve">Administration</t>
  </si>
  <si>
    <t xml:space="preserve">Printing, stationery, postage, telephone, internet, legal and professional fees, audit fees, advertisement, insurance of assets, accreditation/ranking fees</t>
  </si>
  <si>
    <t xml:space="preserve">Exclude depreciation and provisions</t>
  </si>
  <si>
    <t xml:space="preserve">Scholarships &amp; assistance</t>
  </si>
  <si>
    <t xml:space="preserve">Fee waivers / freeships, merit and need-based scholarships and financial assistance given from institutional funds</t>
  </si>
  <si>
    <t xml:space="preserve">Exclude government scholarships merely passed through to students (unless shown as income in Head G)</t>
  </si>
  <si>
    <t xml:space="preserve">Electricity &amp; utilities</t>
  </si>
  <si>
    <t xml:space="preserve">Electricity, water charges, fuel for generators</t>
  </si>
  <si>
    <t xml:space="preserve">Exclude solar plant cost (capital)</t>
  </si>
  <si>
    <t xml:space="preserve">Transport</t>
  </si>
  <si>
    <t xml:space="preserve">Bus hire, fuel, vehicle maintenance, drivers' wages (if not in salaries)</t>
  </si>
  <si>
    <t xml:space="preserve">Exclude purchase of vehicles (capital)</t>
  </si>
  <si>
    <t xml:space="preserve">Career guidance &amp; skilling</t>
  </si>
  <si>
    <t xml:space="preserve">Placement cell, training &amp; placement activities, aptitude/soft-skill/certification programmes for students</t>
  </si>
  <si>
    <t xml:space="preserve">Check consistency with Metric 7.6 evidence</t>
  </si>
  <si>
    <t xml:space="preserve">Employee benefits</t>
  </si>
  <si>
    <t xml:space="preserve">Employer PF, ESI, gratuity, leave encashment, group medical/life insurance, FDP/conference sponsorship, staff welfare</t>
  </si>
  <si>
    <t xml:space="preserve">Exclude provisions not actually incurred if accounts allow separate identification</t>
  </si>
  <si>
    <t xml:space="preserve">Extracurricular &amp; co-curricular</t>
  </si>
  <si>
    <t xml:space="preserve">Cultural, sports, technical fests, clubs, NSS/NCC, IKS, value-education and wellbeing activities</t>
  </si>
  <si>
    <t xml:space="preserve">Exclude purchase of sports infrastructure (capital)</t>
  </si>
  <si>
    <t xml:space="preserve">Other revenue expenditure</t>
  </si>
  <si>
    <t xml:space="preserve">Library periodical subscriptions (revenue), examination expenses, convocation, hostel/mess running, interest on loans, rent (if NOT counted in 4.1), miscellaneous</t>
  </si>
  <si>
    <t xml:space="preserve">Exclude depreciation, asset write-offs and any rent already reported in 4.1</t>
  </si>
  <si>
    <t xml:space="preserve">G5.  FORMULAS USED IN THIS WORKBOOK</t>
  </si>
  <si>
    <t xml:space="preserve">#</t>
  </si>
  <si>
    <t xml:space="preserve">Indicator</t>
  </si>
  <si>
    <t xml:space="preserve">Formula</t>
  </si>
  <si>
    <t xml:space="preserve">Meaning</t>
  </si>
  <si>
    <t xml:space="preserve">Total Revenue Income</t>
  </si>
  <si>
    <t xml:space="preserve">A + B + C + D + E + F + G + H</t>
  </si>
  <si>
    <t xml:space="preserve">Total amount earned through fees, grants, consultancy, endowments, scholarships etc.</t>
  </si>
  <si>
    <t xml:space="preserve">Total Revenue Expenditure</t>
  </si>
  <si>
    <t xml:space="preserve">1 + 2 + … + 10</t>
  </si>
  <si>
    <t xml:space="preserve">Total amount spent on recurring heads</t>
  </si>
  <si>
    <t xml:space="preserve">Revenue Coverage Ratio</t>
  </si>
  <si>
    <t xml:space="preserve">Total Revenue Income ÷ Total Revenue Expenditure</t>
  </si>
  <si>
    <t xml:space="preserve">Rupees of income for every rupee spent (KEY INDICATOR). Above 1.00x = self-sustaining</t>
  </si>
  <si>
    <t xml:space="preserve">Operating Surplus / (Deficit)</t>
  </si>
  <si>
    <t xml:space="preserve">Revenue Income – Revenue Expenditure</t>
  </si>
  <si>
    <t xml:space="preserve">Amount available for reinvestment / corpus</t>
  </si>
  <si>
    <t xml:space="preserve">Surplus Margin %</t>
  </si>
  <si>
    <t xml:space="preserve">Operating Surplus ÷ Revenue Income</t>
  </si>
  <si>
    <t xml:space="preserve">Share of income retained</t>
  </si>
  <si>
    <t xml:space="preserve">Fee Dependency %</t>
  </si>
  <si>
    <t xml:space="preserve">Fees ÷ Revenue Income</t>
  </si>
  <si>
    <t xml:space="preserve">Extent of reliance on student fees (diversification indicator)</t>
  </si>
  <si>
    <t xml:space="preserve">Salary &amp; Benefits Share %</t>
  </si>
  <si>
    <t xml:space="preserve">(Salaries + Employee benefits) ÷ Revenue Expenditure</t>
  </si>
  <si>
    <t xml:space="preserve">Share of running cost going to people</t>
  </si>
  <si>
    <t xml:space="preserve">Expenditure excluding salary</t>
  </si>
  <si>
    <t xml:space="preserve">Revenue Expenditure – Salaries – Employee benefits</t>
  </si>
  <si>
    <t xml:space="preserve">Input for Metric 3.2 (add capital expenditure from 4.1 as applicable)</t>
  </si>
  <si>
    <t xml:space="preserve">Year-on-Year Growth</t>
  </si>
  <si>
    <t xml:space="preserve">(Current FY ÷ Previous FY) – 1</t>
  </si>
  <si>
    <t xml:space="preserve">Trend in income and expenditure</t>
  </si>
  <si>
    <t xml:space="preserve">G6.  INTERPRETATION BANDS (INDICATIVE – IQAC GUIDANCE)</t>
  </si>
  <si>
    <t xml:space="preserve">Band</t>
  </si>
  <si>
    <t xml:space="preserve">Interpretation</t>
  </si>
  <si>
    <t xml:space="preserve">Suggested action</t>
  </si>
  <si>
    <t xml:space="preserve">I</t>
  </si>
  <si>
    <t xml:space="preserve">Below 0.95</t>
  </si>
  <si>
    <t xml:space="preserve">Operating deficit – running costs exceed income</t>
  </si>
  <si>
    <t xml:space="preserve">Explain how the deficit was met (management support, reserves); show corrective plan</t>
  </si>
  <si>
    <t xml:space="preserve">II</t>
  </si>
  <si>
    <t xml:space="preserve">0.95 – 0.99</t>
  </si>
  <si>
    <t xml:space="preserve">Marginal – nearly break-even</t>
  </si>
  <si>
    <t xml:space="preserve">Show steps to diversify income (consultancy, training, alumni)</t>
  </si>
  <si>
    <t xml:space="preserve">III</t>
  </si>
  <si>
    <t xml:space="preserve">1.00 – 1.25</t>
  </si>
  <si>
    <t xml:space="preserve">Healthy – self-sustaining with reasonable surplus</t>
  </si>
  <si>
    <t xml:space="preserve">Strongest position; show that surplus is reinvested (link to 4.1 / 4.3)</t>
  </si>
  <si>
    <t xml:space="preserve">IV</t>
  </si>
  <si>
    <t xml:space="preserve">Above 1.25</t>
  </si>
  <si>
    <t xml:space="preserve">High surplus</t>
  </si>
  <si>
    <t xml:space="preserve">Demonstrate that the surplus is reinvested in infrastructure, scholarships and corpus, consistent with the not-for-profit character of the university</t>
  </si>
  <si>
    <t xml:space="preserve">G7.  SUPPORTING DOCUMENTS REQUIRED BY NAAC</t>
  </si>
  <si>
    <t xml:space="preserve">1.  Audited Income &amp; Expenditure statement of the institution, signed by the CA and countersigned by the competent authority, with the specific revenue components HIGHLIGHTED.
2.  Audit extracts of the same, certified by the CA (use the format in Sheet 8).
Recommended additional evidence: income and expenditure schedules, fee collection register summary, salary register summary, R&amp;D grant and consultancy ledgers, scholarship disbursement records, endowment income statement, and a reconciliation statement between this workbook and the audited I&amp;E Account. Track these in Sheet 7.</t>
  </si>
  <si>
    <t xml:space="preserve">G8.  COMMON ERRORS AND HOW TO AVOID THEM</t>
  </si>
  <si>
    <t xml:space="preserve">Error</t>
  </si>
  <si>
    <t xml:space="preserve">Consequence</t>
  </si>
  <si>
    <t xml:space="preserve">Prevention</t>
  </si>
  <si>
    <t xml:space="preserve">Including capital receipts (loans, trust contribution for buildings) as revenue income</t>
  </si>
  <si>
    <t xml:space="preserve">Inflated ratio; mismatch with 4.1</t>
  </si>
  <si>
    <t xml:space="preserve">Capital receipts go only to 4.1</t>
  </si>
  <si>
    <t xml:space="preserve">Including depreciation in revenue expenditure</t>
  </si>
  <si>
    <t xml:space="preserve">Double counting – the asset is already counted in 4.1</t>
  </si>
  <si>
    <t xml:space="preserve">Exclude depreciation and provisions; show in reconciliation (Sheet 5, Section E)</t>
  </si>
  <si>
    <t xml:space="preserve">Counting government fee reimbursement in both Fees and Scholarships</t>
  </si>
  <si>
    <t xml:space="preserve">Inflated income</t>
  </si>
  <si>
    <t xml:space="preserve">Show it in one head only</t>
  </si>
  <si>
    <t xml:space="preserve">Counting rent in both 4.1 and 4.2</t>
  </si>
  <si>
    <t xml:space="preserve">Double counting</t>
  </si>
  <si>
    <t xml:space="preserve">Rent goes to 4.1 (NAAC includes rentals there); report here only if not reported in 4.1</t>
  </si>
  <si>
    <t xml:space="preserve">Mixing academic and financial years</t>
  </si>
  <si>
    <t xml:space="preserve">Inconsistent data</t>
  </si>
  <si>
    <t xml:space="preserve">Always April–March for Attribute 4</t>
  </si>
  <si>
    <t xml:space="preserve">Consultancy figure differs from Metric 9.7</t>
  </si>
  <si>
    <t xml:space="preserve">DVV query</t>
  </si>
  <si>
    <t xml:space="preserve">Use the same ledger for both metrics</t>
  </si>
  <si>
    <t xml:space="preserve">Figures not traceable to audited accounts</t>
  </si>
  <si>
    <t xml:space="preserve">Claim rejected</t>
  </si>
  <si>
    <t xml:space="preserve">Fill 'Audit Reference' for every non-zero entry</t>
  </si>
  <si>
    <t xml:space="preserve">G9.  CONSISTENCY CHECKS WITH OTHER METRICS</t>
  </si>
  <si>
    <t xml:space="preserve">•  Metric 4.1: no item should appear both as capital and revenue. Rentals reported in 4.1 must not be repeated here.
•  Metric 3.2: 'Total expenditure excluding salary' should be derived from this workbook (Sheet 5, Section D) plus capital expenditure from 4.1, as per the institution's adopted method – keep the method consistent across all years.
•  Metric 9.7: consultancy and training revenue must match.
•  Metric 7.5 / 7.6: scholarships, welfare and career guidance spending should be supported by the same evidence.
•  Metric 4.3: the cumulative operating surplus should be visible in corpus/reserve movements.</t>
  </si>
  <si>
    <t xml:space="preserve">SHEET 3 – REVENUE INCOME (INR LAKHS)</t>
  </si>
  <si>
    <t xml:space="preserve">Record the REVENUE (recurring) income earned in each financial year from fees, R&amp;D grants, salary grants, alumni contribution, consultancy, endowments, scholarships and other operating sources. Source: Income &amp; Expenditure Account and income schedules (audited). Do NOT include capital receipts such as loans, trust contributions for infrastructure or capital grants – these belong to Metric 4.1.</t>
  </si>
  <si>
    <t xml:space="preserve">Head / Sub-head (INR Lakhs)</t>
  </si>
  <si>
    <t xml:space="preserve">FY 2025-26</t>
  </si>
  <si>
    <t xml:space="preserve">FY 2024-25</t>
  </si>
  <si>
    <t xml:space="preserve">FY 2023-24</t>
  </si>
  <si>
    <t xml:space="preserve">FY 2022-23</t>
  </si>
  <si>
    <t xml:space="preserve">NAAC 3-Yr Total
(FY 23-24 to 25-26)</t>
  </si>
  <si>
    <t xml:space="preserve">4-Yr Total
(FY 22-23 to 25-26)</t>
  </si>
  <si>
    <t xml:space="preserve">Audit Reference
(Schedule / Page)</t>
  </si>
  <si>
    <t xml:space="preserve">Remarks</t>
  </si>
  <si>
    <t xml:space="preserve">A1</t>
  </si>
  <si>
    <t xml:space="preserve">Tuition fees</t>
  </si>
  <si>
    <t xml:space="preserve">A2</t>
  </si>
  <si>
    <t xml:space="preserve">Development / other academic fees</t>
  </si>
  <si>
    <t xml:space="preserve">A3</t>
  </si>
  <si>
    <t xml:space="preserve">Examination &amp; admission-related fees</t>
  </si>
  <si>
    <t xml:space="preserve">A4</t>
  </si>
  <si>
    <t xml:space="preserve">Hostel, mess &amp; transport fees</t>
  </si>
  <si>
    <t xml:space="preserve">Sub-total A – Fees</t>
  </si>
  <si>
    <t xml:space="preserve">R&amp;D Grants</t>
  </si>
  <si>
    <t xml:space="preserve">B1</t>
  </si>
  <si>
    <t xml:space="preserve">Research project grants (recurring) &amp; overheads – Government</t>
  </si>
  <si>
    <t xml:space="preserve">B2</t>
  </si>
  <si>
    <t xml:space="preserve">Research project grants (recurring) &amp; overheads – Non-Government</t>
  </si>
  <si>
    <t xml:space="preserve">Sub-total B – R&amp;D Grants</t>
  </si>
  <si>
    <t xml:space="preserve">Salary Grants</t>
  </si>
  <si>
    <t xml:space="preserve">C1</t>
  </si>
  <si>
    <t xml:space="preserve">Government salary grants (if any)</t>
  </si>
  <si>
    <t xml:space="preserve">Sub-total C – Salary Grants</t>
  </si>
  <si>
    <t xml:space="preserve">Alumni Contribution</t>
  </si>
  <si>
    <t xml:space="preserve">D1</t>
  </si>
  <si>
    <t xml:space="preserve">Alumni contributions for recurring purposes</t>
  </si>
  <si>
    <t xml:space="preserve">Sub-total D – Alumni Contribution</t>
  </si>
  <si>
    <t xml:space="preserve">Consultancy &amp; Training</t>
  </si>
  <si>
    <t xml:space="preserve">E1</t>
  </si>
  <si>
    <t xml:space="preserve">Consultancy fees &amp; testing charges</t>
  </si>
  <si>
    <t xml:space="preserve">E2</t>
  </si>
  <si>
    <t xml:space="preserve">Training programmes (MDP / EDP / FDP / corporate)</t>
  </si>
  <si>
    <t xml:space="preserve">Sub-total E – Consultancy &amp; Training</t>
  </si>
  <si>
    <t xml:space="preserve">Endowment Income</t>
  </si>
  <si>
    <t xml:space="preserve">F1</t>
  </si>
  <si>
    <t xml:space="preserve">Interest / income on endowment funds</t>
  </si>
  <si>
    <t xml:space="preserve">Sub-total F – Endowment Income</t>
  </si>
  <si>
    <t xml:space="preserve">Scholarships Received</t>
  </si>
  <si>
    <t xml:space="preserve">G1</t>
  </si>
  <si>
    <t xml:space="preserve">Government scholarships / fee reimbursement received</t>
  </si>
  <si>
    <t xml:space="preserve">G2</t>
  </si>
  <si>
    <t xml:space="preserve">Other external scholarships received</t>
  </si>
  <si>
    <t xml:space="preserve">Sub-total G – Scholarships Received</t>
  </si>
  <si>
    <t xml:space="preserve">Other Revenue Income (specify in Remarks)</t>
  </si>
  <si>
    <t xml:space="preserve">H1</t>
  </si>
  <si>
    <t xml:space="preserve">Interest on investments / fixed deposits</t>
  </si>
  <si>
    <t xml:space="preserve">H2</t>
  </si>
  <si>
    <t xml:space="preserve">Rent / hire of facilities</t>
  </si>
  <si>
    <t xml:space="preserve">H3</t>
  </si>
  <si>
    <t xml:space="preserve">Miscellaneous income</t>
  </si>
  <si>
    <t xml:space="preserve">Sub-total H – Other Revenue Income (specify in Remarks)</t>
  </si>
  <si>
    <t xml:space="preserve">TOTAL</t>
  </si>
  <si>
    <t xml:space="preserve">Total amount earned through Fees, R&amp;D grants, Salary Grants, Alumni contribution, Consultancy, Endowments, Scholarships etc.</t>
  </si>
  <si>
    <t xml:space="preserve">Filling rules: (1) Enter amounts in INR Lakhs with two decimals in the cream cells only. (2) Leave blank or enter 0 where not applicable – it will display as '-'. (3) For every non-zero figure, write the schedule/page of the audited accounts in 'Audit Reference'. (4) Light-navy and navy cells are formulas – do not overwrite. (5) Refer to Sheet 2 (G3/G4) for include/exclude rules.</t>
  </si>
  <si>
    <t xml:space="preserve">SHEET 4 – REVENUE EXPENDITURE (INR LAKHS)</t>
  </si>
  <si>
    <t xml:space="preserve">Record the REVENUE (recurring) expenditure incurred in each financial year on salaries, maintenance, administration, scholarships &amp; assistance, electricity, transport, career guidance &amp; skilling, employee benefits, extracurricular and co-curricular activities etc. Source: Income &amp; Expenditure Account and expenditure schedules (audited). EXCLUDE depreciation, provisions and any item capitalised or already reported in Metric 4.1 (including rentals).</t>
  </si>
  <si>
    <t xml:space="preserve">1.1</t>
  </si>
  <si>
    <t xml:space="preserve">Teaching staff salaries (incl. visiting / contract faculty)</t>
  </si>
  <si>
    <t xml:space="preserve">1.2</t>
  </si>
  <si>
    <t xml:space="preserve">Non-teaching staff salaries &amp; wages</t>
  </si>
  <si>
    <t xml:space="preserve">Sub-total 1 – Salaries</t>
  </si>
  <si>
    <t xml:space="preserve">2.1</t>
  </si>
  <si>
    <t xml:space="preserve">Repairs &amp; maintenance – buildings &amp; campus</t>
  </si>
  <si>
    <t xml:space="preserve">2.2</t>
  </si>
  <si>
    <t xml:space="preserve">Repairs &amp; maintenance – labs, equipment &amp; IT (incl. AMC)</t>
  </si>
  <si>
    <t xml:space="preserve">2.3</t>
  </si>
  <si>
    <t xml:space="preserve">Housekeeping, security &amp; gardening</t>
  </si>
  <si>
    <t xml:space="preserve">Sub-total 2 – Maintenance</t>
  </si>
  <si>
    <t xml:space="preserve">3.1</t>
  </si>
  <si>
    <t xml:space="preserve">Office &amp; communication expenses (printing, stationery, telephone, internet)</t>
  </si>
  <si>
    <t xml:space="preserve">3.2</t>
  </si>
  <si>
    <t xml:space="preserve">Legal, professional, audit &amp; accreditation / ranking fees</t>
  </si>
  <si>
    <t xml:space="preserve">3.3</t>
  </si>
  <si>
    <t xml:space="preserve">Advertisement, publicity &amp; insurance of assets</t>
  </si>
  <si>
    <t xml:space="preserve">Sub-total 3 – Administration</t>
  </si>
  <si>
    <t xml:space="preserve">Scholarships &amp; Assistance</t>
  </si>
  <si>
    <t xml:space="preserve">4.1</t>
  </si>
  <si>
    <t xml:space="preserve">Fee waivers / freeships from institutional funds</t>
  </si>
  <si>
    <t xml:space="preserve">4.2</t>
  </si>
  <si>
    <t xml:space="preserve">Merit / need-based scholarships &amp; financial assistance</t>
  </si>
  <si>
    <t xml:space="preserve">Sub-total 4 – Scholarships &amp; Assistance</t>
  </si>
  <si>
    <t xml:space="preserve">Electricity &amp; Utilities</t>
  </si>
  <si>
    <t xml:space="preserve">5.1</t>
  </si>
  <si>
    <t xml:space="preserve">Electricity, water &amp; fuel charges</t>
  </si>
  <si>
    <t xml:space="preserve">Sub-total 5 – Electricity &amp; Utilities</t>
  </si>
  <si>
    <t xml:space="preserve">6.1</t>
  </si>
  <si>
    <t xml:space="preserve">Transport operating expenses (hire, fuel, maintenance)</t>
  </si>
  <si>
    <t xml:space="preserve">Sub-total 6 – Transport</t>
  </si>
  <si>
    <t xml:space="preserve">Career Guidance &amp; Skilling</t>
  </si>
  <si>
    <t xml:space="preserve">7.1</t>
  </si>
  <si>
    <t xml:space="preserve">Training &amp; placement / career guidance expenses</t>
  </si>
  <si>
    <t xml:space="preserve">7.2</t>
  </si>
  <si>
    <t xml:space="preserve">Skilling, certification &amp; value-added programmes</t>
  </si>
  <si>
    <t xml:space="preserve">Sub-total 7 – Career Guidance &amp; Skilling</t>
  </si>
  <si>
    <t xml:space="preserve">Employee Benefits</t>
  </si>
  <si>
    <t xml:space="preserve">8.1</t>
  </si>
  <si>
    <t xml:space="preserve">Employer PF / ESI / gratuity / leave encashment</t>
  </si>
  <si>
    <t xml:space="preserve">8.2</t>
  </si>
  <si>
    <t xml:space="preserve">Group insurance, staff welfare &amp; FDP sponsorship</t>
  </si>
  <si>
    <t xml:space="preserve">Sub-total 8 – Employee Benefits</t>
  </si>
  <si>
    <t xml:space="preserve">Extracurricular &amp; Co-curricular Activities</t>
  </si>
  <si>
    <t xml:space="preserve">9.1</t>
  </si>
  <si>
    <t xml:space="preserve">Cultural, sports &amp; technical events / clubs</t>
  </si>
  <si>
    <t xml:space="preserve">9.2</t>
  </si>
  <si>
    <t xml:space="preserve">NSS / NCC, outreach, wellbeing &amp; value-education activities</t>
  </si>
  <si>
    <t xml:space="preserve">Sub-total 9 – Extracurricular &amp; Co-curricular Activities</t>
  </si>
  <si>
    <t xml:space="preserve">Other Revenue Expenditure (specify in Remarks)</t>
  </si>
  <si>
    <t xml:space="preserve">10.1</t>
  </si>
  <si>
    <t xml:space="preserve">Examination &amp; convocation expenses</t>
  </si>
  <si>
    <t xml:space="preserve">10.2</t>
  </si>
  <si>
    <t xml:space="preserve">Library periodicals &amp; subscriptions (revenue)</t>
  </si>
  <si>
    <t xml:space="preserve">10.3</t>
  </si>
  <si>
    <t xml:space="preserve">Hostel &amp; mess running expenses</t>
  </si>
  <si>
    <t xml:space="preserve">10.4</t>
  </si>
  <si>
    <t xml:space="preserve">Interest on loans &amp; bank charges</t>
  </si>
  <si>
    <t xml:space="preserve">10.5</t>
  </si>
  <si>
    <t xml:space="preserve">Miscellaneous revenue expenses</t>
  </si>
  <si>
    <t xml:space="preserve">Sub-total 10 – Other Revenue Expenditure (specify in Remarks)</t>
  </si>
  <si>
    <t xml:space="preserve">Total amount spent towards salaries, maintenance, administration, scholarships &amp; assistance, electricity, transport, career guidance &amp; skilling, employee benefits, extracurricular &amp; co-curricular activities etc.</t>
  </si>
  <si>
    <t xml:space="preserve">SHEET 5 – SUMMARY, NAAC DATA TEMPLATE &amp; RATIO ANALYSIS</t>
  </si>
  <si>
    <t xml:space="preserve">This sheet is fully formula-driven. Values flow from Sheets 3 and 4 – do not type here, except in Section E (reconciliation inputs). Section A gives the figures to be entered on the NAAC portal (FY 2023-24 to 2025-26). FY 2022-23 is shown for trend/reference only.</t>
  </si>
  <si>
    <t xml:space="preserve">A.  NAAC DATA TEMPLATE (INR LAKHS)</t>
  </si>
  <si>
    <t xml:space="preserve">Item</t>
  </si>
  <si>
    <t xml:space="preserve">FY 2025-26
(Year-3)</t>
  </si>
  <si>
    <t xml:space="preserve">FY 2024-25
(Year-2)</t>
  </si>
  <si>
    <t xml:space="preserve">FY 2023-24
(Year-1)</t>
  </si>
  <si>
    <t xml:space="preserve">FY 2022-23
(Baseline)</t>
  </si>
  <si>
    <t xml:space="preserve">NAAC 3-Yr Total</t>
  </si>
  <si>
    <t xml:space="preserve">4-Yr Total</t>
  </si>
  <si>
    <t xml:space="preserve">Total amount earned through Fees, R&amp;D grants, Salary Grants, Alumni contribution, Consultancy, Endowments, Scholarships</t>
  </si>
  <si>
    <t xml:space="preserve">Total amount spent towards salaries, maintenance, administration, scholarships &amp; assistance, electricity, transport, career guidance and skilling, employee benefits, extracurricular and co-curricular activities etc.</t>
  </si>
  <si>
    <t xml:space="preserve">B.  RATIO ANALYSIS</t>
  </si>
  <si>
    <t xml:space="preserve">NAAC 3-Yr Aggregate</t>
  </si>
  <si>
    <t xml:space="preserve">4-Yr Aggregate</t>
  </si>
  <si>
    <t xml:space="preserve">Revenue Coverage Ratio  (Income ÷ Expenditure)  – KEY INDICATOR</t>
  </si>
  <si>
    <t xml:space="preserve">Operating Surplus / (Deficit)  (Income – Expenditure), INR Lakhs</t>
  </si>
  <si>
    <t xml:space="preserve">Surplus Margin %  (Surplus ÷ Income)</t>
  </si>
  <si>
    <t xml:space="preserve">Fee Dependency %  (Fees ÷ Income)</t>
  </si>
  <si>
    <t xml:space="preserve">Salary &amp; Benefits Share %  ((Salaries + Benefits) ÷ Expenditure)</t>
  </si>
  <si>
    <t xml:space="preserve">Year-on-Year Growth – Revenue Income</t>
  </si>
  <si>
    <t xml:space="preserve">n.a.</t>
  </si>
  <si>
    <t xml:space="preserve">Year-on-Year Growth – Revenue Expenditure</t>
  </si>
  <si>
    <t xml:space="preserve">Interpretation (indicative band – see Sheet 2, G6)</t>
  </si>
  <si>
    <t xml:space="preserve">C.  COMPOSITION – SHARE OF EACH HEAD (NAAC 3-YEAR PERIOD)</t>
  </si>
  <si>
    <t xml:space="preserve">Revenue Income Head</t>
  </si>
  <si>
    <t xml:space="preserve">NAAC 3-Yr (INR Lakhs)</t>
  </si>
  <si>
    <t xml:space="preserve">Share %</t>
  </si>
  <si>
    <t xml:space="preserve">Revenue Expenditure Head</t>
  </si>
  <si>
    <t xml:space="preserve">D.  LINKAGE WITH METRIC 3.2 (EXPENDITURE EXCLUDING SALARY)</t>
  </si>
  <si>
    <t xml:space="preserve">NAAC 3-Yr</t>
  </si>
  <si>
    <t xml:space="preserve">4-Yr</t>
  </si>
  <si>
    <t xml:space="preserve">Revenue expenditure excluding Salaries &amp; Employee benefits (INR Lakhs)</t>
  </si>
  <si>
    <t xml:space="preserve">Use D1 together with capital expenditure from the Metric 4.1 workbook, as per the method adopted by the institution, to arrive at 'Total Expenditure excluding salary' for Metric 3.2. Keep the same method for all years.</t>
  </si>
  <si>
    <t xml:space="preserve">E.  RECONCILIATION WITH AUDITED INCOME &amp; EXPENDITURE ACCOUNT</t>
  </si>
  <si>
    <t xml:space="preserve">Total Income as per audited I&amp;E Account (input)</t>
  </si>
  <si>
    <t xml:space="preserve">Less: income items excluded from 4.2 (e.g., capital items routed through I&amp;E) (input)</t>
  </si>
  <si>
    <t xml:space="preserve">E3</t>
  </si>
  <si>
    <t xml:space="preserve">Difference: (E1 – E2) – Revenue Income in this workbook  → should be 0</t>
  </si>
  <si>
    <t xml:space="preserve">E4</t>
  </si>
  <si>
    <t xml:space="preserve">Total Expenditure as per audited I&amp;E Account (input)</t>
  </si>
  <si>
    <t xml:space="preserve">E5</t>
  </si>
  <si>
    <t xml:space="preserve">Less: Depreciation (input)</t>
  </si>
  <si>
    <t xml:space="preserve">E6</t>
  </si>
  <si>
    <t xml:space="preserve">Less: Provisions / write-offs / rent reported in 4.1 / other excluded items (input)</t>
  </si>
  <si>
    <t xml:space="preserve">E7</t>
  </si>
  <si>
    <t xml:space="preserve">Difference: (E4 – E5 – E6) – Revenue Expenditure in this workbook  → should be 0</t>
  </si>
  <si>
    <t xml:space="preserve">E8</t>
  </si>
  <si>
    <t xml:space="preserve">Reconciliation status</t>
  </si>
  <si>
    <t xml:space="preserve">F.  CHART – REVENUE INCOME vs REVENUE EXPENDITURE</t>
  </si>
  <si>
    <t xml:space="preserve">Reading the results: A Revenue Coverage Ratio of 1.00x–1.25x is the strongest position – income fully meets running costs and leaves a reasonable surplus. Below 1.00x indicates an operating deficit that must be explained; above 1.25x should be supported by evidence that the surplus is reinvested in infrastructure, scholarships and corpus.</t>
  </si>
  <si>
    <t xml:space="preserve">SHEET 6 – WORKED EXAMPLE (HYPOTHETICAL FIGURES – FOR UNDERSTANDING ONLY)</t>
  </si>
  <si>
    <t xml:space="preserve">The figures below are purely illustrative and do NOT represent any institution's accounts. They show how category totals translate into the NAAC template, the ratio and its interpretation.</t>
  </si>
  <si>
    <t xml:space="preserve">Step 1 – Revenue Income by category (INR Lakhs)</t>
  </si>
  <si>
    <t xml:space="preserve">Step 2 – Revenue Expenditure by category (INR Lakhs)</t>
  </si>
  <si>
    <t xml:space="preserve">Step 3 – Ratio and interpretation</t>
  </si>
  <si>
    <t xml:space="preserve">a</t>
  </si>
  <si>
    <t xml:space="preserve">Revenue Coverage Ratio (Income ÷ Expenditure)</t>
  </si>
  <si>
    <t xml:space="preserve">b</t>
  </si>
  <si>
    <t xml:space="preserve">Operating Surplus / (Deficit), INR Lakhs</t>
  </si>
  <si>
    <t xml:space="preserve">c</t>
  </si>
  <si>
    <t xml:space="preserve">d</t>
  </si>
  <si>
    <t xml:space="preserve">e</t>
  </si>
  <si>
    <t xml:space="preserve">f</t>
  </si>
  <si>
    <t xml:space="preserve">Interpretation band</t>
  </si>
  <si>
    <t xml:space="preserve">How to read this example</t>
  </si>
  <si>
    <t xml:space="preserve">1.  In FY 2025-26 the institution earned 10,700 Lakhs and spent 8,700 Lakhs on running costs – a Revenue Coverage Ratio of about 1.23x (Band III – healthy). The operating surplus of 2,000 Lakhs (about 18.7% of income) is available for reinvestment.
2.  Over the NAAC three-year period (FY 2023-24 to 2025-26) the institution earned 29,010 Lakhs against expenditure of 24,030 Lakhs – an aggregate ratio of about 1.21x, showing consistent self-sufficiency.
3.  Fees form about 89% of income – typical for a self-financed university. Growing consultancy, training, R&amp;D and alumni income will reduce fee dependency and strengthen the case under Metric 4.3 (diversification).
4.  Salaries plus employee benefits are about 67% of revenue expenditure – a normal level for a teaching-intensive institution.
5.  The surplus should be visibly reinvested – e.g., in capital expenditure reported in Metric 4.1 and corpus creation in Metric 4.3. Mention this linkage in the explanatory note.
6.  For the actual submission, enter real figures in Sheets 3 and 4; Sheet 5 will produce these indicators automatically.</t>
  </si>
  <si>
    <t xml:space="preserve">SHEET 7 – SUPPORTING DOCUMENT CHECKLIST</t>
  </si>
  <si>
    <t xml:space="preserve">Select the status for each document and financial year from the drop-down (Available / Pending / Not Applicable). Items 1 and 2 are mandatory as per NAAC; the rest are recommended evidence for Data Validation &amp; Verification (DVV).</t>
  </si>
  <si>
    <t xml:space="preserve">Document</t>
  </si>
  <si>
    <t xml:space="preserve">Purpose / What to highlight</t>
  </si>
  <si>
    <t xml:space="preserve">Responsibility</t>
  </si>
  <si>
    <t xml:space="preserve">File name / Link / Remarks</t>
  </si>
  <si>
    <t xml:space="preserve">Audited Income &amp; Expenditure statement – signed by CA &amp; countersigned by competent authority (MANDATORY)</t>
  </si>
  <si>
    <t xml:space="preserve">Highlight revenue income and revenue expenditure components</t>
  </si>
  <si>
    <t xml:space="preserve">Pending</t>
  </si>
  <si>
    <t xml:space="preserve">Finance Officer</t>
  </si>
  <si>
    <t xml:space="preserve">CA-certified audit extract of revenue income and revenue expenditure (MANDATORY – Sheet 8 format)</t>
  </si>
  <si>
    <t xml:space="preserve">Must match Sheet 5 Section A exactly</t>
  </si>
  <si>
    <t xml:space="preserve">Income schedules of the audited accounts</t>
  </si>
  <si>
    <t xml:space="preserve">Fees, grants, consultancy, endowment and other income</t>
  </si>
  <si>
    <t xml:space="preserve">Expenditure schedules of the audited accounts</t>
  </si>
  <si>
    <t xml:space="preserve">Salaries, maintenance, administration and other heads</t>
  </si>
  <si>
    <t xml:space="preserve">Reconciliation statement (Sheet 5, Section E)</t>
  </si>
  <si>
    <t xml:space="preserve">Workbook totals vs audited I&amp;E; depreciation and exclusions</t>
  </si>
  <si>
    <t xml:space="preserve">Fee collection register summary</t>
  </si>
  <si>
    <t xml:space="preserve">Fees by programme / category</t>
  </si>
  <si>
    <t xml:space="preserve">Accounts – Fee Section</t>
  </si>
  <si>
    <t xml:space="preserve">Salary register summary &amp; statutory returns (PF / ESI)</t>
  </si>
  <si>
    <t xml:space="preserve">Salaries and employee benefits</t>
  </si>
  <si>
    <t xml:space="preserve">HR / Accounts</t>
  </si>
  <si>
    <t xml:space="preserve">R&amp;D grant and consultancy / training ledgers</t>
  </si>
  <si>
    <t xml:space="preserve">Must match Metrics 9.1 and 9.7</t>
  </si>
  <si>
    <t xml:space="preserve">Research Office / Accounts</t>
  </si>
  <si>
    <t xml:space="preserve">Scholarship &amp; freeship disbursement records</t>
  </si>
  <si>
    <t xml:space="preserve">Scholarships received and given</t>
  </si>
  <si>
    <t xml:space="preserve">Scholarship Cell / Accounts</t>
  </si>
  <si>
    <t xml:space="preserve">Endowment fund statement</t>
  </si>
  <si>
    <t xml:space="preserve">Income earned on endowments</t>
  </si>
  <si>
    <t xml:space="preserve">Explanatory note for years with ratio outside 1.00x–1.25x</t>
  </si>
  <si>
    <t xml:space="preserve">Reason for deficit / use of surplus</t>
  </si>
  <si>
    <t xml:space="preserve">IQAC &amp; Finance Officer</t>
  </si>
  <si>
    <t xml:space="preserve">Documents Available (count)</t>
  </si>
  <si>
    <t xml:space="preserve">CERTIFICATE BY CHARTERED ACCOUNTANT</t>
  </si>
  <si>
    <t xml:space="preserve">(To be printed on the letterhead of the Chartered Accountant firm)</t>
  </si>
  <si>
    <t xml:space="preserve">Ref. No.: ____________________                                                                 Date: ____________________</t>
  </si>
  <si>
    <t xml:space="preserve">Sub.: Certificate of Revenue Income and Revenue Expenditure of [University Name] for NAAC Metric 4.2 (Binary Accreditation Framework) – Financial Years 2022-23 to 2025-26</t>
  </si>
  <si>
    <t xml:space="preserve">This is to certify that we have verified the audited Income &amp; Expenditure Accounts and related schedules of [University Name] for the financial years mentioned below. Based on our verification, the total revenue income earned through fees, R&amp;D grants, salary grants, alumni contribution, consultancy, endowments, scholarships etc., and the total revenue expenditure on salaries, maintenance, administration, scholarships &amp; assistance, electricity, transport, career guidance and skilling, employee benefits, extracurricular and co-curricular activities etc., are as under:</t>
  </si>
  <si>
    <t xml:space="preserve">S. No.</t>
  </si>
  <si>
    <t xml:space="preserve">Financial Year</t>
  </si>
  <si>
    <t xml:space="preserve">Revenue Income
(INR Lakhs)</t>
  </si>
  <si>
    <t xml:space="preserve">Revenue Expenditure
(INR Lakhs)</t>
  </si>
  <si>
    <t xml:space="preserve">Total – NAAC period (FY 2023-24 to 2025-26)</t>
  </si>
  <si>
    <t xml:space="preserve">We further certify that (i) revenue income excludes capital receipts such as loans, capital grants and contributions for infrastructure; (ii) revenue expenditure excludes depreciation, provisions, capitalised items and rentals reported under Metric 4.1; (iii) the figures reconcile with the audited Income &amp; Expenditure Accounts after the exclusions stated above; and (iv) the relevant components have been highlighted in the audited statements enclosed herewith.</t>
  </si>
  <si>
    <t xml:space="preserve">For ____________________ (CA Firm Name)</t>
  </si>
  <si>
    <t xml:space="preserve">Countersigned by</t>
  </si>
  <si>
    <t xml:space="preserve">Chartered Accountants, FRN: __________</t>
  </si>
  <si>
    <t xml:space="preserve">Registrar / Finance Officer</t>
  </si>
  <si>
    <t xml:space="preserve">[University Name]</t>
  </si>
  <si>
    <t xml:space="preserve">(Signature &amp; Seal)</t>
  </si>
  <si>
    <t xml:space="preserve">Name of Partner: ____________________</t>
  </si>
  <si>
    <t xml:space="preserve">Membership No.: __________   UDIN: __________</t>
  </si>
  <si>
    <t xml:space="preserve">Place: [City]                         Enclosures: Highlighted audited statements for FY 2022-23, 2023-24, 2024-25 and 2025-26</t>
  </si>
</sst>
</file>

<file path=xl/styles.xml><?xml version="1.0" encoding="utf-8"?>
<styleSheet xmlns="http://schemas.openxmlformats.org/spreadsheetml/2006/main">
  <numFmts count="4">
    <numFmt numFmtId="164" formatCode="General"/>
    <numFmt numFmtId="165" formatCode="#,##0.00;\(#,##0.00\);\-"/>
    <numFmt numFmtId="166" formatCode="0.00\x;\(0.00&quot;x)&quot;;\-"/>
    <numFmt numFmtId="167" formatCode="0.0%;\(0.0%\);\-"/>
  </numFmts>
  <fonts count="33">
    <font>
      <sz val="11"/>
      <color theme="1"/>
      <name val="Calibri"/>
      <family val="2"/>
      <charset val="1"/>
    </font>
    <font>
      <sz val="10"/>
      <name val="Arial"/>
      <family val="0"/>
    </font>
    <font>
      <sz val="10"/>
      <name val="Arial"/>
      <family val="0"/>
    </font>
    <font>
      <sz val="10"/>
      <name val="Arial"/>
      <family val="0"/>
    </font>
    <font>
      <b val="true"/>
      <sz val="24"/>
      <color rgb="FFC9A227"/>
      <name val="Calibri"/>
      <family val="0"/>
      <charset val="1"/>
    </font>
    <font>
      <b val="true"/>
      <sz val="18"/>
      <color rgb="FF1F3864"/>
      <name val="Calibri"/>
      <family val="0"/>
      <charset val="1"/>
    </font>
    <font>
      <b val="true"/>
      <sz val="16"/>
      <color rgb="FF1F3864"/>
      <name val="Calibri"/>
      <family val="0"/>
      <charset val="1"/>
    </font>
    <font>
      <b val="true"/>
      <sz val="20"/>
      <color rgb="FF1F3864"/>
      <name val="Calibri"/>
      <family val="0"/>
      <charset val="1"/>
    </font>
    <font>
      <i val="true"/>
      <sz val="14"/>
      <color rgb="FF404040"/>
      <name val="Calibri"/>
      <family val="0"/>
      <charset val="1"/>
    </font>
    <font>
      <b val="true"/>
      <sz val="16"/>
      <color rgb="FFFFFFFF"/>
      <name val="Calibri"/>
      <family val="0"/>
      <charset val="1"/>
    </font>
    <font>
      <sz val="14"/>
      <color rgb="FF000000"/>
      <name val="Calibri"/>
      <family val="0"/>
      <charset val="1"/>
    </font>
    <font>
      <b val="true"/>
      <sz val="14"/>
      <color rgb="FFFFFFFF"/>
      <name val="Calibri"/>
      <family val="0"/>
      <charset val="1"/>
    </font>
    <font>
      <b val="true"/>
      <sz val="14"/>
      <color rgb="FF0000FF"/>
      <name val="Calibri"/>
      <family val="0"/>
      <charset val="1"/>
    </font>
    <font>
      <b val="true"/>
      <sz val="14"/>
      <color rgb="FF000000"/>
      <name val="Calibri"/>
      <family val="0"/>
      <charset val="1"/>
    </font>
    <font>
      <b val="true"/>
      <sz val="14"/>
      <color rgb="FF008000"/>
      <name val="Calibri"/>
      <family val="0"/>
      <charset val="1"/>
    </font>
    <font>
      <b val="true"/>
      <sz val="14"/>
      <color rgb="FFC9A227"/>
      <name val="Calibri"/>
      <family val="0"/>
      <charset val="1"/>
    </font>
    <font>
      <i val="true"/>
      <sz val="12"/>
      <color rgb="FF595959"/>
      <name val="Calibri"/>
      <family val="0"/>
      <charset val="1"/>
    </font>
    <font>
      <i val="true"/>
      <sz val="12"/>
      <color rgb="FFC00000"/>
      <name val="Calibri"/>
      <family val="0"/>
      <charset val="1"/>
    </font>
    <font>
      <b val="true"/>
      <sz val="20"/>
      <color rgb="FFC9A227"/>
      <name val="Calibri"/>
      <family val="0"/>
      <charset val="1"/>
    </font>
    <font>
      <b val="true"/>
      <sz val="14"/>
      <color rgb="FF1F3864"/>
      <name val="Calibri"/>
      <family val="0"/>
      <charset val="1"/>
    </font>
    <font>
      <sz val="14"/>
      <color rgb="FF0000FF"/>
      <name val="Calibri"/>
      <family val="0"/>
      <charset val="1"/>
    </font>
    <font>
      <b val="true"/>
      <sz val="15"/>
      <color rgb="FFC9A227"/>
      <name val="Calibri"/>
      <family val="0"/>
      <charset val="1"/>
    </font>
    <font>
      <b val="true"/>
      <sz val="15"/>
      <color rgb="FFFFFFFF"/>
      <name val="Calibri"/>
      <family val="0"/>
      <charset val="1"/>
    </font>
    <font>
      <i val="true"/>
      <sz val="13"/>
      <color rgb="FF404040"/>
      <name val="Calibri"/>
      <family val="0"/>
      <charset val="1"/>
    </font>
    <font>
      <b val="true"/>
      <sz val="13"/>
      <color rgb="FF1F3864"/>
      <name val="Calibri"/>
      <family val="0"/>
      <charset val="1"/>
    </font>
    <font>
      <sz val="14"/>
      <color rgb="FF008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C9A227"/>
      <name val="Calibri"/>
      <family val="0"/>
      <charset val="1"/>
    </font>
    <font>
      <b val="true"/>
      <sz val="14"/>
      <color rgb="FFC00000"/>
      <name val="Calibri"/>
      <family val="0"/>
      <charset val="1"/>
    </font>
    <font>
      <i val="true"/>
      <sz val="13"/>
      <color rgb="FF595959"/>
      <name val="Calibri"/>
      <family val="0"/>
      <charset val="1"/>
    </font>
    <font>
      <sz val="13"/>
      <color rgb="FF404040"/>
      <name val="Calibri"/>
      <family val="0"/>
      <charset val="1"/>
    </font>
  </fonts>
  <fills count="8">
    <fill>
      <patternFill patternType="none"/>
    </fill>
    <fill>
      <patternFill patternType="gray125"/>
    </fill>
    <fill>
      <patternFill patternType="solid">
        <fgColor rgb="FF1F3864"/>
        <bgColor rgb="FF333399"/>
      </patternFill>
    </fill>
    <fill>
      <patternFill patternType="solid">
        <fgColor rgb="FFFFF4D6"/>
        <bgColor rgb="FFFFFBE6"/>
      </patternFill>
    </fill>
    <fill>
      <patternFill patternType="solid">
        <fgColor rgb="FFF2F2F2"/>
        <bgColor rgb="FFFFFBE6"/>
      </patternFill>
    </fill>
    <fill>
      <patternFill patternType="solid">
        <fgColor rgb="FFFFFBE6"/>
        <bgColor rgb="FFFFF4D6"/>
      </patternFill>
    </fill>
    <fill>
      <patternFill patternType="solid">
        <fgColor rgb="FFDCE3F0"/>
        <bgColor rgb="FFD9D9D9"/>
      </patternFill>
    </fill>
    <fill>
      <patternFill patternType="solid">
        <fgColor rgb="FFFFFFFF"/>
        <bgColor rgb="FFFFFBE6"/>
      </patternFill>
    </fill>
  </fills>
  <borders count="4">
    <border diagonalUp="false" diagonalDown="false">
      <left/>
      <right/>
      <top/>
      <bottom/>
      <diagonal/>
    </border>
    <border diagonalUp="false" diagonalDown="false">
      <left/>
      <right/>
      <top/>
      <bottom style="thick">
        <color rgb="FFC9A227"/>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8C8C8C"/>
      </left>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0" fillId="0" borderId="3" xfId="0" applyFont="true" applyBorder="true" applyAlignment="true" applyProtection="false">
      <alignment horizontal="left" vertical="center" textRotation="0" wrapText="true" indent="0" shrinkToFit="false"/>
      <protection locked="true" hidden="false"/>
    </xf>
    <xf numFmtId="164" fontId="13" fillId="6" borderId="2" xfId="0" applyFont="true" applyBorder="true" applyAlignment="true" applyProtection="false">
      <alignment horizontal="left" vertical="center" textRotation="0" wrapText="tru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15" fillId="2" borderId="2"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9" fillId="3" borderId="2" xfId="0" applyFont="true" applyBorder="true" applyAlignment="true" applyProtection="false">
      <alignment horizontal="center" vertical="center" textRotation="0" wrapText="true" indent="0" shrinkToFit="false"/>
      <protection locked="true" hidden="false"/>
    </xf>
    <xf numFmtId="164" fontId="19"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5" fontId="20" fillId="5" borderId="2" xfId="0" applyFont="true" applyBorder="true" applyAlignment="false" applyProtection="false">
      <alignment horizontal="general" vertical="bottom" textRotation="0" wrapText="false" indent="0" shrinkToFit="false"/>
      <protection locked="true" hidden="false"/>
    </xf>
    <xf numFmtId="165" fontId="10" fillId="6" borderId="2" xfId="0" applyFont="true" applyBorder="true" applyAlignment="false" applyProtection="false">
      <alignment horizontal="general" vertical="bottom" textRotation="0" wrapText="false" indent="0" shrinkToFit="false"/>
      <protection locked="true" hidden="false"/>
    </xf>
    <xf numFmtId="164" fontId="20" fillId="5" borderId="2" xfId="0" applyFont="true" applyBorder="true" applyAlignment="true" applyProtection="false">
      <alignment horizontal="general" vertical="top" textRotation="0" wrapText="tru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13" fillId="6" borderId="2" xfId="0" applyFont="true" applyBorder="true" applyAlignment="true" applyProtection="false">
      <alignment horizontal="general" vertical="top" textRotation="0" wrapText="true" indent="0" shrinkToFit="false"/>
      <protection locked="true" hidden="false"/>
    </xf>
    <xf numFmtId="165" fontId="13" fillId="6" borderId="2" xfId="0" applyFont="true" applyBorder="true" applyAlignment="false" applyProtection="false">
      <alignment horizontal="general" vertical="bottom" textRotation="0" wrapText="false" indent="0" shrinkToFit="false"/>
      <protection locked="true" hidden="false"/>
    </xf>
    <xf numFmtId="164" fontId="21" fillId="2" borderId="2" xfId="0" applyFont="true" applyBorder="true" applyAlignment="false" applyProtection="false">
      <alignment horizontal="general" vertical="bottom" textRotation="0" wrapText="false" indent="0" shrinkToFit="false"/>
      <protection locked="true" hidden="false"/>
    </xf>
    <xf numFmtId="164" fontId="22" fillId="2" borderId="2" xfId="0" applyFont="true" applyBorder="true" applyAlignment="true" applyProtection="false">
      <alignment horizontal="general" vertical="top" textRotation="0" wrapText="true" indent="0" shrinkToFit="false"/>
      <protection locked="true" hidden="false"/>
    </xf>
    <xf numFmtId="165" fontId="22" fillId="2" borderId="2" xfId="0" applyFont="tru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5" fontId="14" fillId="0" borderId="2" xfId="0" applyFont="true" applyBorder="true" applyAlignment="false" applyProtection="false">
      <alignment horizontal="general" vertical="bottom" textRotation="0" wrapText="false" indent="0" shrinkToFit="false"/>
      <protection locked="true" hidden="false"/>
    </xf>
    <xf numFmtId="166" fontId="13" fillId="6" borderId="2" xfId="0" applyFont="true" applyBorder="true" applyAlignment="true" applyProtection="false">
      <alignment horizontal="right" vertical="center" textRotation="0" wrapText="true" indent="0" shrinkToFit="false"/>
      <protection locked="true" hidden="false"/>
    </xf>
    <xf numFmtId="165" fontId="10" fillId="6" borderId="2" xfId="0" applyFont="true" applyBorder="true" applyAlignment="true" applyProtection="false">
      <alignment horizontal="right" vertical="center" textRotation="0" wrapText="true" indent="0" shrinkToFit="false"/>
      <protection locked="true" hidden="false"/>
    </xf>
    <xf numFmtId="167" fontId="10" fillId="6" borderId="2" xfId="0" applyFont="true" applyBorder="true" applyAlignment="true" applyProtection="false">
      <alignment horizontal="right" vertical="center" textRotation="0" wrapText="true" indent="0" shrinkToFit="false"/>
      <protection locked="true" hidden="false"/>
    </xf>
    <xf numFmtId="164" fontId="24" fillId="3"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5" fontId="25" fillId="0" borderId="2" xfId="0" applyFont="true" applyBorder="true" applyAlignment="false" applyProtection="false">
      <alignment horizontal="general" vertical="bottom" textRotation="0" wrapText="false" indent="0" shrinkToFit="false"/>
      <protection locked="true" hidden="false"/>
    </xf>
    <xf numFmtId="167" fontId="10" fillId="6" borderId="2" xfId="0" applyFont="true" applyBorder="true" applyAlignment="false" applyProtection="false">
      <alignment horizontal="general" vertical="bottom" textRotation="0" wrapText="false" indent="0" shrinkToFit="false"/>
      <protection locked="true" hidden="false"/>
    </xf>
    <xf numFmtId="165" fontId="13" fillId="6" borderId="2" xfId="0" applyFont="true" applyBorder="true" applyAlignment="true" applyProtection="false">
      <alignment horizontal="right" vertical="center" textRotation="0" wrapText="true" indent="0" shrinkToFit="false"/>
      <protection locked="true" hidden="false"/>
    </xf>
    <xf numFmtId="164" fontId="29" fillId="2" borderId="0" xfId="0" applyFont="true" applyBorder="true" applyAlignment="true" applyProtection="false">
      <alignment horizontal="center" vertical="center" textRotation="0" wrapText="true" indent="0" shrinkToFit="false"/>
      <protection locked="true" hidden="false"/>
    </xf>
    <xf numFmtId="164" fontId="30" fillId="3" borderId="0" xfId="0" applyFont="true" applyBorder="true" applyAlignment="true" applyProtection="false">
      <alignment horizontal="general" vertical="top" textRotation="0" wrapText="true" indent="0" shrinkToFit="false"/>
      <protection locked="true" hidden="false"/>
    </xf>
    <xf numFmtId="165" fontId="20" fillId="0" borderId="2"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false" applyProtection="false">
      <alignment horizontal="general" vertical="bottom" textRotation="0" wrapText="false" indent="0" shrinkToFit="false"/>
      <protection locked="true" hidden="false"/>
    </xf>
    <xf numFmtId="165" fontId="11" fillId="2" borderId="2" xfId="0" applyFont="true" applyBorder="true" applyAlignment="false" applyProtection="false">
      <alignment horizontal="general" vertical="bottom" textRotation="0" wrapText="false" indent="0" shrinkToFit="false"/>
      <protection locked="true" hidden="false"/>
    </xf>
    <xf numFmtId="164" fontId="20" fillId="5" borderId="2"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25" fillId="0" borderId="2" xfId="0" applyFont="true" applyBorder="true" applyAlignment="true" applyProtection="false">
      <alignment horizontal="center" vertical="center" textRotation="0" wrapText="true" indent="0" shrinkToFit="false"/>
      <protection locked="true" hidden="false"/>
    </xf>
    <xf numFmtId="166" fontId="10" fillId="0" borderId="2"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center" vertical="center" textRotation="0" wrapText="true" indent="0" shrinkToFit="false"/>
      <protection locked="true" hidden="false"/>
    </xf>
    <xf numFmtId="165" fontId="13" fillId="6" borderId="2" xfId="0" applyFont="true" applyBorder="true" applyAlignment="true" applyProtection="false">
      <alignment horizontal="center" vertical="center" textRotation="0" wrapText="true" indent="0" shrinkToFit="false"/>
      <protection locked="true" hidden="false"/>
    </xf>
    <xf numFmtId="166" fontId="13" fillId="6"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Calibri"/>
        <charset val="1"/>
        <family val="0"/>
        <b val="1"/>
        <color rgb="FF006100"/>
        <sz val="13"/>
      </font>
      <fill>
        <patternFill>
          <bgColor rgb="FFC6EFCE"/>
        </patternFill>
      </fill>
    </dxf>
    <dxf>
      <font>
        <name val="Calibri"/>
        <charset val="1"/>
        <family val="0"/>
        <b val="1"/>
        <color rgb="FF9C0006"/>
        <sz val="13"/>
      </font>
      <fill>
        <patternFill>
          <bgColor rgb="FFFFC7CE"/>
        </patternFill>
      </fill>
    </dxf>
    <dxf>
      <font>
        <name val="Calibri"/>
        <charset val="1"/>
        <family val="0"/>
        <b val="1"/>
        <color rgb="FF006100"/>
        <sz val="14"/>
      </font>
      <fill>
        <patternFill>
          <bgColor rgb="FFC6EFCE"/>
        </patternFill>
      </fill>
    </dxf>
    <dxf>
      <font>
        <name val="Calibri"/>
        <charset val="1"/>
        <family val="0"/>
        <b val="1"/>
        <color rgb="FF9C0006"/>
        <sz val="14"/>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993366"/>
      <rgbColor rgb="FFFFF4D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3F0"/>
      <rgbColor rgb="FFC6EFCE"/>
      <rgbColor rgb="FFFFFBE6"/>
      <rgbColor rgb="FF99CCFF"/>
      <rgbColor rgb="FFFF99CC"/>
      <rgbColor rgb="FFCC99FF"/>
      <rgbColor rgb="FFFFC7CE"/>
      <rgbColor rgb="FF3366FF"/>
      <rgbColor rgb="FF33CCCC"/>
      <rgbColor rgb="FF99CC00"/>
      <rgbColor rgb="FFFFCC00"/>
      <rgbColor rgb="FFC9A227"/>
      <rgbColor rgb="FFFF6600"/>
      <rgbColor rgb="FF595959"/>
      <rgbColor rgb="FF8C8C8C"/>
      <rgbColor rgb="FF1F3864"/>
      <rgbColor rgb="FF339966"/>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Income vs Revenue Expenditure (INR Lakhs)</a:t>
            </a:r>
          </a:p>
        </c:rich>
      </c:tx>
      <c:overlay val="0"/>
      <c:spPr>
        <a:noFill/>
        <a:ln w="0">
          <a:noFill/>
        </a:ln>
      </c:spPr>
    </c:title>
    <c:autoTitleDeleted val="0"/>
    <c:plotArea>
      <c:barChart>
        <c:barDir val="col"/>
        <c:grouping val="clustered"/>
        <c:varyColors val="0"/>
        <c:ser>
          <c:idx val="0"/>
          <c:order val="0"/>
          <c:tx>
            <c:strRef>
              <c:f>"Revenue Income"</c:f>
              <c:strCache>
                <c:ptCount val="1"/>
                <c:pt idx="0">
                  <c:v>Revenue Income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Summary &amp; Ratio'!$D$6:$G$6</c:f>
              <c:multiLvlStrCache>
                <c:ptCount val="1"/>
                <c:lvl>
                  <c:pt idx="0">
                    <c:v>FY 2022-23
(Baseline)</c:v>
                  </c:pt>
                </c:lvl>
                <c:lvl>
                  <c:pt idx="0">
                    <c:v>FY 2023-24
(Year-1)</c:v>
                  </c:pt>
                </c:lvl>
                <c:lvl>
                  <c:pt idx="0">
                    <c:v>FY 2024-25
(Year-2)</c:v>
                  </c:pt>
                </c:lvl>
                <c:lvl>
                  <c:pt idx="0">
                    <c:v>FY 2025-26
(Year-3)</c:v>
                  </c:pt>
                </c:lvl>
              </c:multiLvlStrCache>
            </c:multiLvlStrRef>
          </c:cat>
          <c:val>
            <c:numRef>
              <c:f>'5. Summary &amp; Ratio'!$D$7:$G$7</c:f>
              <c:numCache>
                <c:formatCode>#,##0.00;\(#,##0.00\);\-</c:formatCode>
                <c:ptCount val="4"/>
                <c:pt idx="0">
                  <c:v>0</c:v>
                </c:pt>
                <c:pt idx="1">
                  <c:v>0</c:v>
                </c:pt>
                <c:pt idx="2">
                  <c:v>0</c:v>
                </c:pt>
                <c:pt idx="3">
                  <c:v>0</c:v>
                </c:pt>
              </c:numCache>
            </c:numRef>
          </c:val>
        </c:ser>
        <c:ser>
          <c:idx val="1"/>
          <c:order val="1"/>
          <c:tx>
            <c:strRef>
              <c:f>"Revenue Expenditure"</c:f>
              <c:strCache>
                <c:ptCount val="1"/>
                <c:pt idx="0">
                  <c:v>Revenue Expenditure</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Summary &amp; Ratio'!$D$6:$G$6</c:f>
              <c:multiLvlStrCache>
                <c:ptCount val="1"/>
                <c:lvl>
                  <c:pt idx="0">
                    <c:v>FY 2022-23
(Baseline)</c:v>
                  </c:pt>
                </c:lvl>
                <c:lvl>
                  <c:pt idx="0">
                    <c:v>FY 2023-24
(Year-1)</c:v>
                  </c:pt>
                </c:lvl>
                <c:lvl>
                  <c:pt idx="0">
                    <c:v>FY 2024-25
(Year-2)</c:v>
                  </c:pt>
                </c:lvl>
                <c:lvl>
                  <c:pt idx="0">
                    <c:v>FY 2025-26
(Year-3)</c:v>
                  </c:pt>
                </c:lvl>
              </c:multiLvlStrCache>
            </c:multiLvlStrRef>
          </c:cat>
          <c:val>
            <c:numRef>
              <c:f>'5. Summary &amp; Ratio'!$D$8:$G$8</c:f>
              <c:numCache>
                <c:formatCode>#,##0.00;\(#,##0.00\);\-</c:formatCode>
                <c:ptCount val="4"/>
                <c:pt idx="0">
                  <c:v>0</c:v>
                </c:pt>
                <c:pt idx="1">
                  <c:v>0</c:v>
                </c:pt>
                <c:pt idx="2">
                  <c:v>0</c:v>
                </c:pt>
                <c:pt idx="3">
                  <c:v>0</c:v>
                </c:pt>
              </c:numCache>
            </c:numRef>
          </c:val>
        </c:ser>
        <c:gapWidth val="150"/>
        <c:overlap val="0"/>
        <c:axId val="55529825"/>
        <c:axId val="40231652"/>
      </c:barChart>
      <c:catAx>
        <c:axId val="555298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231652"/>
        <c:crosses val="autoZero"/>
        <c:auto val="1"/>
        <c:lblAlgn val="ctr"/>
        <c:lblOffset val="100"/>
        <c:noMultiLvlLbl val="0"/>
      </c:catAx>
      <c:valAx>
        <c:axId val="402316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Lakhs</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5298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60</xdr:row>
      <xdr:rowOff>0</xdr:rowOff>
    </xdr:from>
    <xdr:to>
      <xdr:col>7</xdr:col>
      <xdr:colOff>196920</xdr:colOff>
      <xdr:row>80</xdr:row>
      <xdr:rowOff>149400</xdr:rowOff>
    </xdr:to>
    <xdr:graphicFrame>
      <xdr:nvGraphicFramePr>
        <xdr:cNvPr id="0" name="Chart 1"/>
        <xdr:cNvGraphicFramePr/>
      </xdr:nvGraphicFramePr>
      <xdr:xfrm>
        <a:off x="846000" y="2795580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4" min="3" style="0" width="45"/>
    <col collapsed="false" customWidth="true" hidden="false" outlineLevel="0" max="5" min="5" style="0" width="40"/>
  </cols>
  <sheetData>
    <row r="2" customFormat="false" ht="52.5" hidden="false" customHeight="true" outlineLevel="0" collapsed="false">
      <c r="B2" s="1" t="s">
        <v>0</v>
      </c>
      <c r="C2" s="1"/>
      <c r="D2" s="1"/>
      <c r="E2" s="1"/>
    </row>
    <row r="3" customFormat="false" ht="33.75" hidden="false" customHeight="true" outlineLevel="0" collapsed="false">
      <c r="B3" s="2" t="s">
        <v>1</v>
      </c>
      <c r="C3" s="2"/>
      <c r="D3" s="2"/>
      <c r="E3" s="2"/>
    </row>
    <row r="5" customFormat="false" ht="30.75" hidden="false" customHeight="true" outlineLevel="0" collapsed="false">
      <c r="B5" s="3" t="s">
        <v>2</v>
      </c>
      <c r="C5" s="3"/>
      <c r="D5" s="3"/>
      <c r="E5" s="3"/>
    </row>
    <row r="6" customFormat="false" ht="36.75" hidden="false" customHeight="true" outlineLevel="0" collapsed="false">
      <c r="B6" s="4" t="s">
        <v>3</v>
      </c>
      <c r="C6" s="4"/>
      <c r="D6" s="4"/>
      <c r="E6" s="4"/>
    </row>
    <row r="7" customFormat="false" ht="27.75" hidden="false" customHeight="true" outlineLevel="0" collapsed="false">
      <c r="B7" s="5" t="s">
        <v>4</v>
      </c>
      <c r="C7" s="5"/>
      <c r="D7" s="5"/>
      <c r="E7" s="5"/>
    </row>
    <row r="9" customFormat="false" ht="30" hidden="false" customHeight="true" outlineLevel="0" collapsed="false">
      <c r="B9" s="6" t="s">
        <v>5</v>
      </c>
      <c r="C9" s="6"/>
      <c r="D9" s="6"/>
      <c r="E9" s="6"/>
    </row>
    <row r="10" customFormat="false" ht="210.75" hidden="false" customHeight="true" outlineLevel="0" collapsed="false">
      <c r="B10" s="7" t="s">
        <v>6</v>
      </c>
      <c r="C10" s="7"/>
      <c r="D10" s="7"/>
      <c r="E10" s="7"/>
    </row>
    <row r="12" customFormat="false" ht="30" hidden="false" customHeight="true" outlineLevel="0" collapsed="false">
      <c r="B12" s="6" t="s">
        <v>7</v>
      </c>
      <c r="C12" s="6"/>
      <c r="D12" s="6"/>
      <c r="E12" s="6"/>
    </row>
    <row r="13" customFormat="false" ht="332.25" hidden="false" customHeight="true" outlineLevel="0" collapsed="false">
      <c r="B13" s="7" t="s">
        <v>8</v>
      </c>
      <c r="C13" s="7"/>
      <c r="D13" s="7"/>
      <c r="E13" s="7"/>
    </row>
    <row r="15" customFormat="false" ht="30" hidden="false" customHeight="true" outlineLevel="0" collapsed="false">
      <c r="B15" s="6" t="s">
        <v>9</v>
      </c>
      <c r="C15" s="6"/>
      <c r="D15" s="6"/>
      <c r="E15" s="6"/>
    </row>
    <row r="16" customFormat="false" ht="129.75" hidden="false" customHeight="true" outlineLevel="0" collapsed="false">
      <c r="B16" s="7" t="s">
        <v>10</v>
      </c>
      <c r="C16" s="7"/>
      <c r="D16" s="7"/>
      <c r="E16" s="7"/>
    </row>
    <row r="18" customFormat="false" ht="30" hidden="false" customHeight="true" outlineLevel="0" collapsed="false">
      <c r="B18" s="6" t="s">
        <v>11</v>
      </c>
      <c r="C18" s="6"/>
      <c r="D18" s="6"/>
      <c r="E18" s="6"/>
    </row>
    <row r="19" customFormat="false" ht="27.75" hidden="false" customHeight="true" outlineLevel="0" collapsed="false">
      <c r="B19" s="8" t="s">
        <v>12</v>
      </c>
      <c r="C19" s="8" t="s">
        <v>13</v>
      </c>
      <c r="D19" s="8" t="s">
        <v>14</v>
      </c>
      <c r="E19" s="8" t="s">
        <v>15</v>
      </c>
    </row>
    <row r="20" customFormat="false" ht="48" hidden="false" customHeight="true" outlineLevel="0" collapsed="false">
      <c r="B20" s="9" t="s">
        <v>16</v>
      </c>
      <c r="C20" s="9" t="s">
        <v>17</v>
      </c>
      <c r="D20" s="9" t="s">
        <v>18</v>
      </c>
      <c r="E20" s="9" t="s">
        <v>19</v>
      </c>
    </row>
    <row r="21" customFormat="false" ht="68.25" hidden="false" customHeight="true" outlineLevel="0" collapsed="false">
      <c r="B21" s="10" t="s">
        <v>20</v>
      </c>
      <c r="C21" s="10" t="s">
        <v>21</v>
      </c>
      <c r="D21" s="10" t="s">
        <v>22</v>
      </c>
      <c r="E21" s="10" t="s">
        <v>23</v>
      </c>
    </row>
    <row r="22" customFormat="false" ht="48" hidden="false" customHeight="true" outlineLevel="0" collapsed="false">
      <c r="B22" s="9" t="s">
        <v>24</v>
      </c>
      <c r="C22" s="9" t="s">
        <v>25</v>
      </c>
      <c r="D22" s="9" t="s">
        <v>26</v>
      </c>
      <c r="E22" s="9" t="s">
        <v>27</v>
      </c>
    </row>
    <row r="23" customFormat="false" ht="48" hidden="false" customHeight="true" outlineLevel="0" collapsed="false">
      <c r="B23" s="10" t="s">
        <v>28</v>
      </c>
      <c r="C23" s="10" t="s">
        <v>29</v>
      </c>
      <c r="D23" s="10" t="s">
        <v>26</v>
      </c>
      <c r="E23" s="10" t="s">
        <v>27</v>
      </c>
    </row>
    <row r="24" customFormat="false" ht="68.25" hidden="false" customHeight="true" outlineLevel="0" collapsed="false">
      <c r="B24" s="9" t="s">
        <v>30</v>
      </c>
      <c r="C24" s="9" t="s">
        <v>31</v>
      </c>
      <c r="D24" s="9" t="s">
        <v>32</v>
      </c>
      <c r="E24" s="9" t="s">
        <v>33</v>
      </c>
    </row>
    <row r="25" customFormat="false" ht="48" hidden="false" customHeight="true" outlineLevel="0" collapsed="false">
      <c r="B25" s="10" t="s">
        <v>34</v>
      </c>
      <c r="C25" s="10" t="s">
        <v>35</v>
      </c>
      <c r="D25" s="10" t="s">
        <v>36</v>
      </c>
      <c r="E25" s="10" t="s">
        <v>37</v>
      </c>
    </row>
    <row r="26" customFormat="false" ht="48" hidden="false" customHeight="true" outlineLevel="0" collapsed="false">
      <c r="B26" s="9" t="s">
        <v>38</v>
      </c>
      <c r="C26" s="9" t="s">
        <v>39</v>
      </c>
      <c r="D26" s="9" t="s">
        <v>40</v>
      </c>
      <c r="E26" s="9" t="s">
        <v>41</v>
      </c>
    </row>
    <row r="27" customFormat="false" ht="48" hidden="false" customHeight="true" outlineLevel="0" collapsed="false">
      <c r="B27" s="10" t="s">
        <v>42</v>
      </c>
      <c r="C27" s="10" t="s">
        <v>43</v>
      </c>
      <c r="D27" s="10" t="s">
        <v>44</v>
      </c>
      <c r="E27" s="10" t="s">
        <v>45</v>
      </c>
    </row>
    <row r="29" customFormat="false" ht="30" hidden="false" customHeight="true" outlineLevel="0" collapsed="false">
      <c r="B29" s="6" t="s">
        <v>46</v>
      </c>
      <c r="C29" s="6"/>
      <c r="D29" s="6"/>
      <c r="E29" s="6"/>
    </row>
    <row r="30" customFormat="false" ht="27.75" hidden="false" customHeight="true" outlineLevel="0" collapsed="false">
      <c r="B30" s="11" t="s">
        <v>47</v>
      </c>
      <c r="C30" s="12" t="s">
        <v>48</v>
      </c>
      <c r="D30" s="12"/>
      <c r="E30" s="12"/>
    </row>
    <row r="31" customFormat="false" ht="27.75" hidden="false" customHeight="true" outlineLevel="0" collapsed="false">
      <c r="B31" s="13" t="s">
        <v>49</v>
      </c>
      <c r="C31" s="12" t="s">
        <v>50</v>
      </c>
      <c r="D31" s="12"/>
      <c r="E31" s="12"/>
    </row>
    <row r="32" customFormat="false" ht="27.75" hidden="false" customHeight="true" outlineLevel="0" collapsed="false">
      <c r="B32" s="14" t="s">
        <v>51</v>
      </c>
      <c r="C32" s="12" t="s">
        <v>52</v>
      </c>
      <c r="D32" s="12"/>
      <c r="E32" s="12"/>
    </row>
    <row r="33" customFormat="false" ht="27.75" hidden="false" customHeight="true" outlineLevel="0" collapsed="false">
      <c r="B33" s="15" t="s">
        <v>53</v>
      </c>
      <c r="C33" s="12" t="s">
        <v>54</v>
      </c>
      <c r="D33" s="12"/>
      <c r="E33" s="12"/>
    </row>
    <row r="35" customFormat="false" ht="42.75" hidden="false" customHeight="true" outlineLevel="0" collapsed="false">
      <c r="B35" s="16" t="s">
        <v>55</v>
      </c>
      <c r="C35" s="16"/>
      <c r="D35" s="16"/>
      <c r="E35" s="16"/>
    </row>
    <row r="36" customFormat="false" ht="42.75" hidden="false" customHeight="true" outlineLevel="0" collapsed="false">
      <c r="B36" s="17" t="s">
        <v>56</v>
      </c>
      <c r="C36" s="17"/>
      <c r="D36" s="17"/>
      <c r="E36" s="17"/>
    </row>
  </sheetData>
  <mergeCells count="19">
    <mergeCell ref="B2:E2"/>
    <mergeCell ref="B3:E3"/>
    <mergeCell ref="B5:E5"/>
    <mergeCell ref="B6:E6"/>
    <mergeCell ref="B7:E7"/>
    <mergeCell ref="B9:E9"/>
    <mergeCell ref="B10:E10"/>
    <mergeCell ref="B12:E12"/>
    <mergeCell ref="B13:E13"/>
    <mergeCell ref="B15:E15"/>
    <mergeCell ref="B16:E16"/>
    <mergeCell ref="B18:E18"/>
    <mergeCell ref="B29:E29"/>
    <mergeCell ref="C30:E30"/>
    <mergeCell ref="C31:E31"/>
    <mergeCell ref="C32:E32"/>
    <mergeCell ref="C33:E33"/>
    <mergeCell ref="B35:E35"/>
    <mergeCell ref="B36:E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8"/>
    <col collapsed="false" customWidth="true" hidden="false" outlineLevel="0" max="4" min="4" style="0" width="55"/>
    <col collapsed="false" customWidth="true" hidden="false" outlineLevel="0" max="5" min="5" style="0" width="50"/>
  </cols>
  <sheetData>
    <row r="2" customFormat="false" ht="43.5" hidden="false" customHeight="true" outlineLevel="0" collapsed="false">
      <c r="B2" s="18" t="s">
        <v>57</v>
      </c>
      <c r="C2" s="18"/>
      <c r="D2" s="18"/>
      <c r="E2" s="18"/>
    </row>
    <row r="3" customFormat="false" ht="30" hidden="false" customHeight="true" outlineLevel="0" collapsed="false">
      <c r="B3" s="6" t="s">
        <v>58</v>
      </c>
      <c r="C3" s="6"/>
      <c r="D3" s="6"/>
      <c r="E3" s="6"/>
    </row>
    <row r="4" customFormat="false" ht="150" hidden="false" customHeight="true" outlineLevel="0" collapsed="false">
      <c r="B4" s="7" t="s">
        <v>59</v>
      </c>
      <c r="C4" s="7"/>
      <c r="D4" s="7"/>
      <c r="E4" s="7"/>
    </row>
    <row r="6" customFormat="false" ht="30" hidden="false" customHeight="true" outlineLevel="0" collapsed="false">
      <c r="B6" s="6" t="s">
        <v>60</v>
      </c>
      <c r="C6" s="6"/>
      <c r="D6" s="6"/>
      <c r="E6" s="6"/>
    </row>
    <row r="7" customFormat="false" ht="27.75" hidden="false" customHeight="true" outlineLevel="0" collapsed="false">
      <c r="B7" s="8" t="s">
        <v>61</v>
      </c>
      <c r="C7" s="8" t="s">
        <v>62</v>
      </c>
      <c r="D7" s="8" t="s">
        <v>63</v>
      </c>
      <c r="E7" s="8" t="s">
        <v>64</v>
      </c>
    </row>
    <row r="8" customFormat="false" ht="68.25" hidden="false" customHeight="true" outlineLevel="0" collapsed="false">
      <c r="B8" s="9" t="s">
        <v>65</v>
      </c>
      <c r="C8" s="9" t="s">
        <v>66</v>
      </c>
      <c r="D8" s="9" t="s">
        <v>67</v>
      </c>
      <c r="E8" s="9" t="s">
        <v>68</v>
      </c>
    </row>
    <row r="9" customFormat="false" ht="48" hidden="false" customHeight="true" outlineLevel="0" collapsed="false">
      <c r="B9" s="10" t="s">
        <v>69</v>
      </c>
      <c r="C9" s="10" t="s">
        <v>70</v>
      </c>
      <c r="D9" s="10" t="s">
        <v>71</v>
      </c>
      <c r="E9" s="10" t="s">
        <v>72</v>
      </c>
    </row>
    <row r="10" customFormat="false" ht="48" hidden="false" customHeight="true" outlineLevel="0" collapsed="false">
      <c r="B10" s="9" t="s">
        <v>73</v>
      </c>
      <c r="C10" s="9" t="s">
        <v>74</v>
      </c>
      <c r="D10" s="9" t="s">
        <v>75</v>
      </c>
      <c r="E10" s="9" t="s">
        <v>26</v>
      </c>
    </row>
    <row r="11" customFormat="false" ht="68.25" hidden="false" customHeight="true" outlineLevel="0" collapsed="false">
      <c r="B11" s="10" t="s">
        <v>76</v>
      </c>
      <c r="C11" s="10" t="s">
        <v>77</v>
      </c>
      <c r="D11" s="10" t="s">
        <v>78</v>
      </c>
      <c r="E11" s="10" t="s">
        <v>72</v>
      </c>
    </row>
    <row r="12" customFormat="false" ht="48" hidden="false" customHeight="true" outlineLevel="0" collapsed="false">
      <c r="B12" s="9" t="s">
        <v>79</v>
      </c>
      <c r="C12" s="9" t="s">
        <v>80</v>
      </c>
      <c r="D12" s="9" t="s">
        <v>81</v>
      </c>
      <c r="E12" s="9" t="s">
        <v>26</v>
      </c>
    </row>
    <row r="13" customFormat="false" ht="48" hidden="false" customHeight="true" outlineLevel="0" collapsed="false">
      <c r="B13" s="10" t="s">
        <v>82</v>
      </c>
      <c r="C13" s="10" t="s">
        <v>83</v>
      </c>
      <c r="D13" s="10" t="s">
        <v>84</v>
      </c>
      <c r="E13" s="10" t="s">
        <v>26</v>
      </c>
    </row>
    <row r="14" customFormat="false" ht="68.25" hidden="false" customHeight="true" outlineLevel="0" collapsed="false">
      <c r="B14" s="9" t="s">
        <v>85</v>
      </c>
      <c r="C14" s="9" t="s">
        <v>86</v>
      </c>
      <c r="D14" s="9" t="s">
        <v>87</v>
      </c>
      <c r="E14" s="9" t="s">
        <v>22</v>
      </c>
    </row>
    <row r="15" customFormat="false" ht="48" hidden="false" customHeight="true" outlineLevel="0" collapsed="false">
      <c r="B15" s="10" t="s">
        <v>88</v>
      </c>
      <c r="C15" s="10" t="s">
        <v>89</v>
      </c>
      <c r="D15" s="10" t="s">
        <v>90</v>
      </c>
      <c r="E15" s="10" t="s">
        <v>91</v>
      </c>
    </row>
    <row r="16" customFormat="false" ht="48" hidden="false" customHeight="true" outlineLevel="0" collapsed="false">
      <c r="B16" s="9" t="s">
        <v>92</v>
      </c>
      <c r="C16" s="9" t="s">
        <v>93</v>
      </c>
      <c r="D16" s="9" t="s">
        <v>94</v>
      </c>
      <c r="E16" s="9" t="s">
        <v>95</v>
      </c>
    </row>
    <row r="17" customFormat="false" ht="68.25" hidden="false" customHeight="true" outlineLevel="0" collapsed="false">
      <c r="B17" s="10" t="s">
        <v>96</v>
      </c>
      <c r="C17" s="10" t="s">
        <v>97</v>
      </c>
      <c r="D17" s="10" t="s">
        <v>98</v>
      </c>
      <c r="E17" s="10" t="s">
        <v>99</v>
      </c>
    </row>
    <row r="19" customFormat="false" ht="30" hidden="false" customHeight="true" outlineLevel="0" collapsed="false">
      <c r="B19" s="6" t="s">
        <v>100</v>
      </c>
      <c r="C19" s="6"/>
      <c r="D19" s="6"/>
      <c r="E19" s="6"/>
    </row>
    <row r="20" customFormat="false" ht="27.75" hidden="false" customHeight="true" outlineLevel="0" collapsed="false">
      <c r="B20" s="8" t="s">
        <v>101</v>
      </c>
      <c r="C20" s="8" t="s">
        <v>102</v>
      </c>
      <c r="D20" s="8" t="s">
        <v>103</v>
      </c>
      <c r="E20" s="8" t="s">
        <v>104</v>
      </c>
    </row>
    <row r="21" customFormat="false" ht="88.5" hidden="false" customHeight="true" outlineLevel="0" collapsed="false">
      <c r="B21" s="9" t="s">
        <v>105</v>
      </c>
      <c r="C21" s="9" t="s">
        <v>106</v>
      </c>
      <c r="D21" s="9" t="s">
        <v>107</v>
      </c>
      <c r="E21" s="9" t="s">
        <v>108</v>
      </c>
    </row>
    <row r="22" customFormat="false" ht="68.25" hidden="false" customHeight="true" outlineLevel="0" collapsed="false">
      <c r="B22" s="10" t="s">
        <v>109</v>
      </c>
      <c r="C22" s="10" t="s">
        <v>110</v>
      </c>
      <c r="D22" s="10" t="s">
        <v>111</v>
      </c>
      <c r="E22" s="10" t="s">
        <v>112</v>
      </c>
    </row>
    <row r="23" customFormat="false" ht="48" hidden="false" customHeight="true" outlineLevel="0" collapsed="false">
      <c r="B23" s="9" t="s">
        <v>113</v>
      </c>
      <c r="C23" s="9" t="s">
        <v>114</v>
      </c>
      <c r="D23" s="9" t="s">
        <v>115</v>
      </c>
      <c r="E23" s="9" t="s">
        <v>116</v>
      </c>
    </row>
    <row r="24" customFormat="false" ht="48" hidden="false" customHeight="true" outlineLevel="0" collapsed="false">
      <c r="B24" s="10" t="s">
        <v>117</v>
      </c>
      <c r="C24" s="10" t="s">
        <v>118</v>
      </c>
      <c r="D24" s="10" t="s">
        <v>119</v>
      </c>
      <c r="E24" s="10" t="s">
        <v>120</v>
      </c>
    </row>
    <row r="25" customFormat="false" ht="68.25" hidden="false" customHeight="true" outlineLevel="0" collapsed="false">
      <c r="B25" s="9" t="s">
        <v>121</v>
      </c>
      <c r="C25" s="9" t="s">
        <v>122</v>
      </c>
      <c r="D25" s="9" t="s">
        <v>123</v>
      </c>
      <c r="E25" s="9" t="s">
        <v>124</v>
      </c>
    </row>
    <row r="26" customFormat="false" ht="48" hidden="false" customHeight="true" outlineLevel="0" collapsed="false">
      <c r="B26" s="10" t="s">
        <v>125</v>
      </c>
      <c r="C26" s="10" t="s">
        <v>126</v>
      </c>
      <c r="D26" s="10" t="s">
        <v>127</v>
      </c>
      <c r="E26" s="10" t="s">
        <v>128</v>
      </c>
    </row>
    <row r="27" customFormat="false" ht="68.25" hidden="false" customHeight="true" outlineLevel="0" collapsed="false">
      <c r="B27" s="9" t="s">
        <v>129</v>
      </c>
      <c r="C27" s="9" t="s">
        <v>130</v>
      </c>
      <c r="D27" s="9" t="s">
        <v>131</v>
      </c>
      <c r="E27" s="9" t="s">
        <v>132</v>
      </c>
    </row>
    <row r="28" customFormat="false" ht="68.25" hidden="false" customHeight="true" outlineLevel="0" collapsed="false">
      <c r="B28" s="10" t="s">
        <v>133</v>
      </c>
      <c r="C28" s="10" t="s">
        <v>134</v>
      </c>
      <c r="D28" s="10" t="s">
        <v>135</v>
      </c>
      <c r="E28" s="10" t="s">
        <v>136</v>
      </c>
    </row>
    <row r="30" customFormat="false" ht="30" hidden="false" customHeight="true" outlineLevel="0" collapsed="false">
      <c r="B30" s="6" t="s">
        <v>137</v>
      </c>
      <c r="C30" s="6"/>
      <c r="D30" s="6"/>
      <c r="E30" s="6"/>
    </row>
    <row r="31" customFormat="false" ht="27.75" hidden="false" customHeight="true" outlineLevel="0" collapsed="false">
      <c r="B31" s="8" t="s">
        <v>101</v>
      </c>
      <c r="C31" s="8" t="s">
        <v>102</v>
      </c>
      <c r="D31" s="8" t="s">
        <v>103</v>
      </c>
      <c r="E31" s="8" t="s">
        <v>104</v>
      </c>
    </row>
    <row r="32" customFormat="false" ht="68.25" hidden="false" customHeight="true" outlineLevel="0" collapsed="false">
      <c r="B32" s="9" t="s">
        <v>65</v>
      </c>
      <c r="C32" s="9" t="s">
        <v>138</v>
      </c>
      <c r="D32" s="9" t="s">
        <v>139</v>
      </c>
      <c r="E32" s="9" t="s">
        <v>140</v>
      </c>
    </row>
    <row r="33" customFormat="false" ht="68.25" hidden="false" customHeight="true" outlineLevel="0" collapsed="false">
      <c r="B33" s="10" t="s">
        <v>69</v>
      </c>
      <c r="C33" s="10" t="s">
        <v>141</v>
      </c>
      <c r="D33" s="10" t="s">
        <v>142</v>
      </c>
      <c r="E33" s="10" t="s">
        <v>143</v>
      </c>
    </row>
    <row r="34" customFormat="false" ht="88.5" hidden="false" customHeight="true" outlineLevel="0" collapsed="false">
      <c r="B34" s="9" t="s">
        <v>73</v>
      </c>
      <c r="C34" s="9" t="s">
        <v>144</v>
      </c>
      <c r="D34" s="9" t="s">
        <v>145</v>
      </c>
      <c r="E34" s="9" t="s">
        <v>146</v>
      </c>
    </row>
    <row r="35" customFormat="false" ht="68.25" hidden="false" customHeight="true" outlineLevel="0" collapsed="false">
      <c r="B35" s="10" t="s">
        <v>76</v>
      </c>
      <c r="C35" s="10" t="s">
        <v>147</v>
      </c>
      <c r="D35" s="10" t="s">
        <v>148</v>
      </c>
      <c r="E35" s="10" t="s">
        <v>149</v>
      </c>
    </row>
    <row r="36" customFormat="false" ht="48" hidden="false" customHeight="true" outlineLevel="0" collapsed="false">
      <c r="B36" s="9" t="s">
        <v>79</v>
      </c>
      <c r="C36" s="9" t="s">
        <v>150</v>
      </c>
      <c r="D36" s="9" t="s">
        <v>151</v>
      </c>
      <c r="E36" s="9" t="s">
        <v>152</v>
      </c>
    </row>
    <row r="37" customFormat="false" ht="48" hidden="false" customHeight="true" outlineLevel="0" collapsed="false">
      <c r="B37" s="10" t="s">
        <v>82</v>
      </c>
      <c r="C37" s="10" t="s">
        <v>153</v>
      </c>
      <c r="D37" s="10" t="s">
        <v>154</v>
      </c>
      <c r="E37" s="10" t="s">
        <v>155</v>
      </c>
    </row>
    <row r="38" customFormat="false" ht="68.25" hidden="false" customHeight="true" outlineLevel="0" collapsed="false">
      <c r="B38" s="9" t="s">
        <v>85</v>
      </c>
      <c r="C38" s="9" t="s">
        <v>156</v>
      </c>
      <c r="D38" s="9" t="s">
        <v>157</v>
      </c>
      <c r="E38" s="9" t="s">
        <v>158</v>
      </c>
    </row>
    <row r="39" customFormat="false" ht="68.25" hidden="false" customHeight="true" outlineLevel="0" collapsed="false">
      <c r="B39" s="10" t="s">
        <v>88</v>
      </c>
      <c r="C39" s="10" t="s">
        <v>159</v>
      </c>
      <c r="D39" s="10" t="s">
        <v>160</v>
      </c>
      <c r="E39" s="10" t="s">
        <v>161</v>
      </c>
    </row>
    <row r="40" customFormat="false" ht="68.25" hidden="false" customHeight="true" outlineLevel="0" collapsed="false">
      <c r="B40" s="9" t="s">
        <v>92</v>
      </c>
      <c r="C40" s="9" t="s">
        <v>162</v>
      </c>
      <c r="D40" s="9" t="s">
        <v>163</v>
      </c>
      <c r="E40" s="9" t="s">
        <v>164</v>
      </c>
    </row>
    <row r="41" customFormat="false" ht="88.5" hidden="false" customHeight="true" outlineLevel="0" collapsed="false">
      <c r="B41" s="10" t="s">
        <v>96</v>
      </c>
      <c r="C41" s="10" t="s">
        <v>165</v>
      </c>
      <c r="D41" s="10" t="s">
        <v>166</v>
      </c>
      <c r="E41" s="10" t="s">
        <v>167</v>
      </c>
    </row>
    <row r="43" customFormat="false" ht="30" hidden="false" customHeight="true" outlineLevel="0" collapsed="false">
      <c r="B43" s="6" t="s">
        <v>168</v>
      </c>
      <c r="C43" s="6"/>
      <c r="D43" s="6"/>
      <c r="E43" s="6"/>
    </row>
    <row r="44" customFormat="false" ht="27.75" hidden="false" customHeight="true" outlineLevel="0" collapsed="false">
      <c r="B44" s="8" t="s">
        <v>169</v>
      </c>
      <c r="C44" s="8" t="s">
        <v>170</v>
      </c>
      <c r="D44" s="8" t="s">
        <v>171</v>
      </c>
      <c r="E44" s="8" t="s">
        <v>172</v>
      </c>
    </row>
    <row r="45" customFormat="false" ht="68.25" hidden="false" customHeight="true" outlineLevel="0" collapsed="false">
      <c r="B45" s="9" t="s">
        <v>65</v>
      </c>
      <c r="C45" s="9" t="s">
        <v>173</v>
      </c>
      <c r="D45" s="9" t="s">
        <v>174</v>
      </c>
      <c r="E45" s="9" t="s">
        <v>175</v>
      </c>
    </row>
    <row r="46" customFormat="false" ht="30" hidden="false" customHeight="true" outlineLevel="0" collapsed="false">
      <c r="B46" s="10" t="s">
        <v>69</v>
      </c>
      <c r="C46" s="10" t="s">
        <v>176</v>
      </c>
      <c r="D46" s="10" t="s">
        <v>177</v>
      </c>
      <c r="E46" s="10" t="s">
        <v>178</v>
      </c>
    </row>
    <row r="47" customFormat="false" ht="68.25" hidden="false" customHeight="true" outlineLevel="0" collapsed="false">
      <c r="B47" s="9" t="s">
        <v>73</v>
      </c>
      <c r="C47" s="9" t="s">
        <v>179</v>
      </c>
      <c r="D47" s="9" t="s">
        <v>180</v>
      </c>
      <c r="E47" s="9" t="s">
        <v>181</v>
      </c>
    </row>
    <row r="48" customFormat="false" ht="48" hidden="false" customHeight="true" outlineLevel="0" collapsed="false">
      <c r="B48" s="10" t="s">
        <v>76</v>
      </c>
      <c r="C48" s="10" t="s">
        <v>182</v>
      </c>
      <c r="D48" s="10" t="s">
        <v>183</v>
      </c>
      <c r="E48" s="10" t="s">
        <v>184</v>
      </c>
    </row>
    <row r="49" customFormat="false" ht="30" hidden="false" customHeight="true" outlineLevel="0" collapsed="false">
      <c r="B49" s="9" t="s">
        <v>79</v>
      </c>
      <c r="C49" s="9" t="s">
        <v>185</v>
      </c>
      <c r="D49" s="9" t="s">
        <v>186</v>
      </c>
      <c r="E49" s="9" t="s">
        <v>187</v>
      </c>
    </row>
    <row r="50" customFormat="false" ht="48" hidden="false" customHeight="true" outlineLevel="0" collapsed="false">
      <c r="B50" s="10" t="s">
        <v>82</v>
      </c>
      <c r="C50" s="10" t="s">
        <v>188</v>
      </c>
      <c r="D50" s="10" t="s">
        <v>189</v>
      </c>
      <c r="E50" s="10" t="s">
        <v>190</v>
      </c>
    </row>
    <row r="51" customFormat="false" ht="48" hidden="false" customHeight="true" outlineLevel="0" collapsed="false">
      <c r="B51" s="9" t="s">
        <v>85</v>
      </c>
      <c r="C51" s="9" t="s">
        <v>191</v>
      </c>
      <c r="D51" s="9" t="s">
        <v>192</v>
      </c>
      <c r="E51" s="9" t="s">
        <v>193</v>
      </c>
    </row>
    <row r="52" customFormat="false" ht="48" hidden="false" customHeight="true" outlineLevel="0" collapsed="false">
      <c r="B52" s="10" t="s">
        <v>88</v>
      </c>
      <c r="C52" s="10" t="s">
        <v>194</v>
      </c>
      <c r="D52" s="10" t="s">
        <v>195</v>
      </c>
      <c r="E52" s="10" t="s">
        <v>196</v>
      </c>
    </row>
    <row r="53" customFormat="false" ht="30" hidden="false" customHeight="true" outlineLevel="0" collapsed="false">
      <c r="B53" s="9" t="s">
        <v>92</v>
      </c>
      <c r="C53" s="9" t="s">
        <v>197</v>
      </c>
      <c r="D53" s="9" t="s">
        <v>198</v>
      </c>
      <c r="E53" s="9" t="s">
        <v>199</v>
      </c>
    </row>
    <row r="55" customFormat="false" ht="30" hidden="false" customHeight="true" outlineLevel="0" collapsed="false">
      <c r="B55" s="6" t="s">
        <v>200</v>
      </c>
      <c r="C55" s="6"/>
      <c r="D55" s="6"/>
      <c r="E55" s="6"/>
    </row>
    <row r="56" customFormat="false" ht="27.75" hidden="false" customHeight="true" outlineLevel="0" collapsed="false">
      <c r="B56" s="8" t="s">
        <v>201</v>
      </c>
      <c r="C56" s="8" t="s">
        <v>179</v>
      </c>
      <c r="D56" s="8" t="s">
        <v>202</v>
      </c>
      <c r="E56" s="8" t="s">
        <v>203</v>
      </c>
    </row>
    <row r="57" customFormat="false" ht="68.25" hidden="false" customHeight="true" outlineLevel="0" collapsed="false">
      <c r="B57" s="9" t="s">
        <v>204</v>
      </c>
      <c r="C57" s="9" t="s">
        <v>205</v>
      </c>
      <c r="D57" s="9" t="s">
        <v>206</v>
      </c>
      <c r="E57" s="9" t="s">
        <v>207</v>
      </c>
    </row>
    <row r="58" customFormat="false" ht="48" hidden="false" customHeight="true" outlineLevel="0" collapsed="false">
      <c r="B58" s="10" t="s">
        <v>208</v>
      </c>
      <c r="C58" s="10" t="s">
        <v>209</v>
      </c>
      <c r="D58" s="10" t="s">
        <v>210</v>
      </c>
      <c r="E58" s="10" t="s">
        <v>211</v>
      </c>
    </row>
    <row r="59" customFormat="false" ht="48" hidden="false" customHeight="true" outlineLevel="0" collapsed="false">
      <c r="B59" s="9" t="s">
        <v>212</v>
      </c>
      <c r="C59" s="9" t="s">
        <v>213</v>
      </c>
      <c r="D59" s="9" t="s">
        <v>214</v>
      </c>
      <c r="E59" s="9" t="s">
        <v>215</v>
      </c>
    </row>
    <row r="60" customFormat="false" ht="88.5" hidden="false" customHeight="true" outlineLevel="0" collapsed="false">
      <c r="B60" s="10" t="s">
        <v>216</v>
      </c>
      <c r="C60" s="10" t="s">
        <v>217</v>
      </c>
      <c r="D60" s="10" t="s">
        <v>218</v>
      </c>
      <c r="E60" s="10" t="s">
        <v>219</v>
      </c>
    </row>
    <row r="62" customFormat="false" ht="30" hidden="false" customHeight="true" outlineLevel="0" collapsed="false">
      <c r="B62" s="6" t="s">
        <v>220</v>
      </c>
      <c r="C62" s="6"/>
      <c r="D62" s="6"/>
      <c r="E62" s="6"/>
    </row>
    <row r="63" customFormat="false" ht="129.75" hidden="false" customHeight="true" outlineLevel="0" collapsed="false">
      <c r="B63" s="7" t="s">
        <v>221</v>
      </c>
      <c r="C63" s="7"/>
      <c r="D63" s="7"/>
      <c r="E63" s="7"/>
    </row>
    <row r="65" customFormat="false" ht="30" hidden="false" customHeight="true" outlineLevel="0" collapsed="false">
      <c r="B65" s="6" t="s">
        <v>222</v>
      </c>
      <c r="C65" s="6"/>
      <c r="D65" s="6"/>
      <c r="E65" s="6"/>
    </row>
    <row r="66" customFormat="false" ht="27.75" hidden="false" customHeight="true" outlineLevel="0" collapsed="false">
      <c r="B66" s="8" t="s">
        <v>169</v>
      </c>
      <c r="C66" s="8" t="s">
        <v>223</v>
      </c>
      <c r="D66" s="8" t="s">
        <v>224</v>
      </c>
      <c r="E66" s="8" t="s">
        <v>225</v>
      </c>
    </row>
    <row r="67" customFormat="false" ht="68.25" hidden="false" customHeight="true" outlineLevel="0" collapsed="false">
      <c r="B67" s="9" t="s">
        <v>65</v>
      </c>
      <c r="C67" s="9" t="s">
        <v>226</v>
      </c>
      <c r="D67" s="9" t="s">
        <v>227</v>
      </c>
      <c r="E67" s="9" t="s">
        <v>228</v>
      </c>
    </row>
    <row r="68" customFormat="false" ht="48" hidden="false" customHeight="true" outlineLevel="0" collapsed="false">
      <c r="B68" s="10" t="s">
        <v>69</v>
      </c>
      <c r="C68" s="10" t="s">
        <v>229</v>
      </c>
      <c r="D68" s="10" t="s">
        <v>230</v>
      </c>
      <c r="E68" s="10" t="s">
        <v>231</v>
      </c>
    </row>
    <row r="69" customFormat="false" ht="68.25" hidden="false" customHeight="true" outlineLevel="0" collapsed="false">
      <c r="B69" s="9" t="s">
        <v>73</v>
      </c>
      <c r="C69" s="9" t="s">
        <v>232</v>
      </c>
      <c r="D69" s="9" t="s">
        <v>233</v>
      </c>
      <c r="E69" s="9" t="s">
        <v>234</v>
      </c>
    </row>
    <row r="70" customFormat="false" ht="68.25" hidden="false" customHeight="true" outlineLevel="0" collapsed="false">
      <c r="B70" s="10" t="s">
        <v>76</v>
      </c>
      <c r="C70" s="10" t="s">
        <v>235</v>
      </c>
      <c r="D70" s="10" t="s">
        <v>236</v>
      </c>
      <c r="E70" s="10" t="s">
        <v>237</v>
      </c>
    </row>
    <row r="71" customFormat="false" ht="48" hidden="false" customHeight="true" outlineLevel="0" collapsed="false">
      <c r="B71" s="9" t="s">
        <v>79</v>
      </c>
      <c r="C71" s="9" t="s">
        <v>238</v>
      </c>
      <c r="D71" s="9" t="s">
        <v>239</v>
      </c>
      <c r="E71" s="9" t="s">
        <v>240</v>
      </c>
    </row>
    <row r="72" customFormat="false" ht="48" hidden="false" customHeight="true" outlineLevel="0" collapsed="false">
      <c r="B72" s="10" t="s">
        <v>82</v>
      </c>
      <c r="C72" s="10" t="s">
        <v>241</v>
      </c>
      <c r="D72" s="10" t="s">
        <v>242</v>
      </c>
      <c r="E72" s="10" t="s">
        <v>243</v>
      </c>
    </row>
    <row r="73" customFormat="false" ht="48" hidden="false" customHeight="true" outlineLevel="0" collapsed="false">
      <c r="B73" s="9" t="s">
        <v>85</v>
      </c>
      <c r="C73" s="9" t="s">
        <v>244</v>
      </c>
      <c r="D73" s="9" t="s">
        <v>245</v>
      </c>
      <c r="E73" s="9" t="s">
        <v>246</v>
      </c>
    </row>
    <row r="75" customFormat="false" ht="30" hidden="false" customHeight="true" outlineLevel="0" collapsed="false">
      <c r="B75" s="6" t="s">
        <v>247</v>
      </c>
      <c r="C75" s="6"/>
      <c r="D75" s="6"/>
      <c r="E75" s="6"/>
    </row>
    <row r="76" customFormat="false" ht="129.75" hidden="false" customHeight="true" outlineLevel="0" collapsed="false">
      <c r="B76" s="7" t="s">
        <v>248</v>
      </c>
      <c r="C76" s="7"/>
      <c r="D76" s="7"/>
      <c r="E76" s="7"/>
    </row>
  </sheetData>
  <mergeCells count="13">
    <mergeCell ref="B2:E2"/>
    <mergeCell ref="B3:E3"/>
    <mergeCell ref="B4:E4"/>
    <mergeCell ref="B6:E6"/>
    <mergeCell ref="B19:E19"/>
    <mergeCell ref="B30:E30"/>
    <mergeCell ref="B43:E43"/>
    <mergeCell ref="B55:E55"/>
    <mergeCell ref="B62:E62"/>
    <mergeCell ref="B63:E63"/>
    <mergeCell ref="B65:E65"/>
    <mergeCell ref="B75:E75"/>
    <mergeCell ref="B76:E7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K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7"/>
    <col collapsed="false" customWidth="true" hidden="false" outlineLevel="0" max="9" min="8" style="0" width="20"/>
    <col collapsed="false" customWidth="true" hidden="false" outlineLevel="0" max="11" min="10" style="0" width="34"/>
  </cols>
  <sheetData>
    <row r="2" customFormat="false" ht="43.5" hidden="false" customHeight="true" outlineLevel="0" collapsed="false">
      <c r="B2" s="18" t="s">
        <v>249</v>
      </c>
      <c r="C2" s="18"/>
      <c r="D2" s="18"/>
      <c r="E2" s="18"/>
      <c r="F2" s="18"/>
      <c r="G2" s="18"/>
      <c r="H2" s="18"/>
      <c r="I2" s="18"/>
      <c r="J2" s="18"/>
      <c r="K2" s="18"/>
    </row>
    <row r="3" customFormat="false" ht="48" hidden="false" customHeight="true" outlineLevel="0" collapsed="false">
      <c r="B3" s="19" t="s">
        <v>250</v>
      </c>
      <c r="C3" s="19"/>
      <c r="D3" s="19"/>
      <c r="E3" s="19"/>
      <c r="F3" s="19"/>
      <c r="G3" s="19"/>
      <c r="H3" s="19"/>
      <c r="I3" s="19"/>
      <c r="J3" s="19"/>
      <c r="K3" s="19"/>
    </row>
    <row r="5" customFormat="false" ht="60" hidden="false" customHeight="true" outlineLevel="0" collapsed="false">
      <c r="B5" s="8" t="s">
        <v>101</v>
      </c>
      <c r="C5" s="8" t="s">
        <v>251</v>
      </c>
      <c r="D5" s="8" t="s">
        <v>252</v>
      </c>
      <c r="E5" s="8" t="s">
        <v>253</v>
      </c>
      <c r="F5" s="8" t="s">
        <v>254</v>
      </c>
      <c r="G5" s="8" t="s">
        <v>255</v>
      </c>
      <c r="H5" s="8" t="s">
        <v>256</v>
      </c>
      <c r="I5" s="8" t="s">
        <v>257</v>
      </c>
      <c r="J5" s="8" t="s">
        <v>258</v>
      </c>
      <c r="K5" s="8" t="s">
        <v>259</v>
      </c>
    </row>
    <row r="6" customFormat="false" ht="27.75" hidden="false" customHeight="true" outlineLevel="0" collapsed="false">
      <c r="B6" s="20" t="s">
        <v>105</v>
      </c>
      <c r="C6" s="21" t="s">
        <v>106</v>
      </c>
      <c r="D6" s="22"/>
      <c r="E6" s="22"/>
      <c r="F6" s="22"/>
      <c r="G6" s="22"/>
      <c r="H6" s="22"/>
      <c r="I6" s="22"/>
      <c r="J6" s="22"/>
      <c r="K6" s="22"/>
    </row>
    <row r="7" customFormat="false" ht="30" hidden="false" customHeight="true" outlineLevel="0" collapsed="false">
      <c r="B7" s="23" t="s">
        <v>260</v>
      </c>
      <c r="C7" s="9" t="s">
        <v>261</v>
      </c>
      <c r="D7" s="24"/>
      <c r="E7" s="24"/>
      <c r="F7" s="24"/>
      <c r="G7" s="24"/>
      <c r="H7" s="25" t="n">
        <f aca="false">SUM(D7:F7)</f>
        <v>0</v>
      </c>
      <c r="I7" s="25" t="n">
        <f aca="false">SUM(D7:G7)</f>
        <v>0</v>
      </c>
      <c r="J7" s="26"/>
      <c r="K7" s="26"/>
    </row>
    <row r="8" customFormat="false" ht="30" hidden="false" customHeight="true" outlineLevel="0" collapsed="false">
      <c r="B8" s="23" t="s">
        <v>262</v>
      </c>
      <c r="C8" s="9" t="s">
        <v>263</v>
      </c>
      <c r="D8" s="24"/>
      <c r="E8" s="24"/>
      <c r="F8" s="24"/>
      <c r="G8" s="24"/>
      <c r="H8" s="25" t="n">
        <f aca="false">SUM(D8:F8)</f>
        <v>0</v>
      </c>
      <c r="I8" s="25" t="n">
        <f aca="false">SUM(D8:G8)</f>
        <v>0</v>
      </c>
      <c r="J8" s="26"/>
      <c r="K8" s="26"/>
    </row>
    <row r="9" customFormat="false" ht="30" hidden="false" customHeight="true" outlineLevel="0" collapsed="false">
      <c r="B9" s="23" t="s">
        <v>264</v>
      </c>
      <c r="C9" s="9" t="s">
        <v>265</v>
      </c>
      <c r="D9" s="24"/>
      <c r="E9" s="24"/>
      <c r="F9" s="24"/>
      <c r="G9" s="24"/>
      <c r="H9" s="25" t="n">
        <f aca="false">SUM(D9:F9)</f>
        <v>0</v>
      </c>
      <c r="I9" s="25" t="n">
        <f aca="false">SUM(D9:G9)</f>
        <v>0</v>
      </c>
      <c r="J9" s="26"/>
      <c r="K9" s="26"/>
    </row>
    <row r="10" customFormat="false" ht="30" hidden="false" customHeight="true" outlineLevel="0" collapsed="false">
      <c r="B10" s="23" t="s">
        <v>266</v>
      </c>
      <c r="C10" s="9" t="s">
        <v>267</v>
      </c>
      <c r="D10" s="24"/>
      <c r="E10" s="24"/>
      <c r="F10" s="24"/>
      <c r="G10" s="24"/>
      <c r="H10" s="25" t="n">
        <f aca="false">SUM(D10:F10)</f>
        <v>0</v>
      </c>
      <c r="I10" s="25" t="n">
        <f aca="false">SUM(D10:G10)</f>
        <v>0</v>
      </c>
      <c r="J10" s="26"/>
      <c r="K10" s="26"/>
    </row>
    <row r="11" customFormat="false" ht="30" hidden="false" customHeight="true" outlineLevel="0" collapsed="false">
      <c r="B11" s="27"/>
      <c r="C11" s="28" t="s">
        <v>268</v>
      </c>
      <c r="D11" s="29" t="n">
        <f aca="false">SUM(D7:D10)</f>
        <v>0</v>
      </c>
      <c r="E11" s="29" t="n">
        <f aca="false">SUM(E7:E10)</f>
        <v>0</v>
      </c>
      <c r="F11" s="29" t="n">
        <f aca="false">SUM(F7:F10)</f>
        <v>0</v>
      </c>
      <c r="G11" s="29" t="n">
        <f aca="false">SUM(G7:G10)</f>
        <v>0</v>
      </c>
      <c r="H11" s="29" t="n">
        <f aca="false">SUM(H7:H10)</f>
        <v>0</v>
      </c>
      <c r="I11" s="29" t="n">
        <f aca="false">SUM(I7:I10)</f>
        <v>0</v>
      </c>
      <c r="J11" s="27"/>
      <c r="K11" s="27"/>
    </row>
    <row r="12" customFormat="false" ht="27.75" hidden="false" customHeight="true" outlineLevel="0" collapsed="false">
      <c r="B12" s="20" t="s">
        <v>109</v>
      </c>
      <c r="C12" s="21" t="s">
        <v>269</v>
      </c>
      <c r="D12" s="22"/>
      <c r="E12" s="22"/>
      <c r="F12" s="22"/>
      <c r="G12" s="22"/>
      <c r="H12" s="22"/>
      <c r="I12" s="22"/>
      <c r="J12" s="22"/>
      <c r="K12" s="22"/>
    </row>
    <row r="13" customFormat="false" ht="48" hidden="false" customHeight="true" outlineLevel="0" collapsed="false">
      <c r="B13" s="23" t="s">
        <v>270</v>
      </c>
      <c r="C13" s="9" t="s">
        <v>271</v>
      </c>
      <c r="D13" s="24"/>
      <c r="E13" s="24"/>
      <c r="F13" s="24"/>
      <c r="G13" s="24"/>
      <c r="H13" s="25" t="n">
        <f aca="false">SUM(D13:F13)</f>
        <v>0</v>
      </c>
      <c r="I13" s="25" t="n">
        <f aca="false">SUM(D13:G13)</f>
        <v>0</v>
      </c>
      <c r="J13" s="26"/>
      <c r="K13" s="26"/>
    </row>
    <row r="14" customFormat="false" ht="48" hidden="false" customHeight="true" outlineLevel="0" collapsed="false">
      <c r="B14" s="23" t="s">
        <v>272</v>
      </c>
      <c r="C14" s="9" t="s">
        <v>273</v>
      </c>
      <c r="D14" s="24"/>
      <c r="E14" s="24"/>
      <c r="F14" s="24"/>
      <c r="G14" s="24"/>
      <c r="H14" s="25" t="n">
        <f aca="false">SUM(D14:F14)</f>
        <v>0</v>
      </c>
      <c r="I14" s="25" t="n">
        <f aca="false">SUM(D14:G14)</f>
        <v>0</v>
      </c>
      <c r="J14" s="26"/>
      <c r="K14" s="26"/>
    </row>
    <row r="15" customFormat="false" ht="30" hidden="false" customHeight="true" outlineLevel="0" collapsed="false">
      <c r="B15" s="27"/>
      <c r="C15" s="28" t="s">
        <v>274</v>
      </c>
      <c r="D15" s="29" t="n">
        <f aca="false">SUM(D13:D14)</f>
        <v>0</v>
      </c>
      <c r="E15" s="29" t="n">
        <f aca="false">SUM(E13:E14)</f>
        <v>0</v>
      </c>
      <c r="F15" s="29" t="n">
        <f aca="false">SUM(F13:F14)</f>
        <v>0</v>
      </c>
      <c r="G15" s="29" t="n">
        <f aca="false">SUM(G13:G14)</f>
        <v>0</v>
      </c>
      <c r="H15" s="29" t="n">
        <f aca="false">SUM(H13:H14)</f>
        <v>0</v>
      </c>
      <c r="I15" s="29" t="n">
        <f aca="false">SUM(I13:I14)</f>
        <v>0</v>
      </c>
      <c r="J15" s="27"/>
      <c r="K15" s="27"/>
    </row>
    <row r="16" customFormat="false" ht="27.75" hidden="false" customHeight="true" outlineLevel="0" collapsed="false">
      <c r="B16" s="20" t="s">
        <v>113</v>
      </c>
      <c r="C16" s="21" t="s">
        <v>275</v>
      </c>
      <c r="D16" s="22"/>
      <c r="E16" s="22"/>
      <c r="F16" s="22"/>
      <c r="G16" s="22"/>
      <c r="H16" s="22"/>
      <c r="I16" s="22"/>
      <c r="J16" s="22"/>
      <c r="K16" s="22"/>
    </row>
    <row r="17" customFormat="false" ht="30" hidden="false" customHeight="true" outlineLevel="0" collapsed="false">
      <c r="B17" s="23" t="s">
        <v>276</v>
      </c>
      <c r="C17" s="9" t="s">
        <v>277</v>
      </c>
      <c r="D17" s="24"/>
      <c r="E17" s="24"/>
      <c r="F17" s="24"/>
      <c r="G17" s="24"/>
      <c r="H17" s="25" t="n">
        <f aca="false">SUM(D17:F17)</f>
        <v>0</v>
      </c>
      <c r="I17" s="25" t="n">
        <f aca="false">SUM(D17:G17)</f>
        <v>0</v>
      </c>
      <c r="J17" s="26"/>
      <c r="K17" s="26"/>
    </row>
    <row r="18" customFormat="false" ht="30" hidden="false" customHeight="true" outlineLevel="0" collapsed="false">
      <c r="B18" s="27"/>
      <c r="C18" s="28" t="s">
        <v>278</v>
      </c>
      <c r="D18" s="29" t="n">
        <f aca="false">SUM(D17:D17)</f>
        <v>0</v>
      </c>
      <c r="E18" s="29" t="n">
        <f aca="false">SUM(E17:E17)</f>
        <v>0</v>
      </c>
      <c r="F18" s="29" t="n">
        <f aca="false">SUM(F17:F17)</f>
        <v>0</v>
      </c>
      <c r="G18" s="29" t="n">
        <f aca="false">SUM(G17:G17)</f>
        <v>0</v>
      </c>
      <c r="H18" s="29" t="n">
        <f aca="false">SUM(H17:H17)</f>
        <v>0</v>
      </c>
      <c r="I18" s="29" t="n">
        <f aca="false">SUM(I17:I17)</f>
        <v>0</v>
      </c>
      <c r="J18" s="27"/>
      <c r="K18" s="27"/>
    </row>
    <row r="19" customFormat="false" ht="27.75" hidden="false" customHeight="true" outlineLevel="0" collapsed="false">
      <c r="B19" s="20" t="s">
        <v>117</v>
      </c>
      <c r="C19" s="21" t="s">
        <v>279</v>
      </c>
      <c r="D19" s="22"/>
      <c r="E19" s="22"/>
      <c r="F19" s="22"/>
      <c r="G19" s="22"/>
      <c r="H19" s="22"/>
      <c r="I19" s="22"/>
      <c r="J19" s="22"/>
      <c r="K19" s="22"/>
    </row>
    <row r="20" customFormat="false" ht="30" hidden="false" customHeight="true" outlineLevel="0" collapsed="false">
      <c r="B20" s="23" t="s">
        <v>280</v>
      </c>
      <c r="C20" s="9" t="s">
        <v>281</v>
      </c>
      <c r="D20" s="24"/>
      <c r="E20" s="24"/>
      <c r="F20" s="24"/>
      <c r="G20" s="24"/>
      <c r="H20" s="25" t="n">
        <f aca="false">SUM(D20:F20)</f>
        <v>0</v>
      </c>
      <c r="I20" s="25" t="n">
        <f aca="false">SUM(D20:G20)</f>
        <v>0</v>
      </c>
      <c r="J20" s="26"/>
      <c r="K20" s="26"/>
    </row>
    <row r="21" customFormat="false" ht="30" hidden="false" customHeight="true" outlineLevel="0" collapsed="false">
      <c r="B21" s="27"/>
      <c r="C21" s="28" t="s">
        <v>282</v>
      </c>
      <c r="D21" s="29" t="n">
        <f aca="false">SUM(D20:D20)</f>
        <v>0</v>
      </c>
      <c r="E21" s="29" t="n">
        <f aca="false">SUM(E20:E20)</f>
        <v>0</v>
      </c>
      <c r="F21" s="29" t="n">
        <f aca="false">SUM(F20:F20)</f>
        <v>0</v>
      </c>
      <c r="G21" s="29" t="n">
        <f aca="false">SUM(G20:G20)</f>
        <v>0</v>
      </c>
      <c r="H21" s="29" t="n">
        <f aca="false">SUM(H20:H20)</f>
        <v>0</v>
      </c>
      <c r="I21" s="29" t="n">
        <f aca="false">SUM(I20:I20)</f>
        <v>0</v>
      </c>
      <c r="J21" s="27"/>
      <c r="K21" s="27"/>
    </row>
    <row r="22" customFormat="false" ht="27.75" hidden="false" customHeight="true" outlineLevel="0" collapsed="false">
      <c r="B22" s="20" t="s">
        <v>121</v>
      </c>
      <c r="C22" s="21" t="s">
        <v>283</v>
      </c>
      <c r="D22" s="22"/>
      <c r="E22" s="22"/>
      <c r="F22" s="22"/>
      <c r="G22" s="22"/>
      <c r="H22" s="22"/>
      <c r="I22" s="22"/>
      <c r="J22" s="22"/>
      <c r="K22" s="22"/>
    </row>
    <row r="23" customFormat="false" ht="30" hidden="false" customHeight="true" outlineLevel="0" collapsed="false">
      <c r="B23" s="23" t="s">
        <v>284</v>
      </c>
      <c r="C23" s="9" t="s">
        <v>285</v>
      </c>
      <c r="D23" s="24"/>
      <c r="E23" s="24"/>
      <c r="F23" s="24"/>
      <c r="G23" s="24"/>
      <c r="H23" s="25" t="n">
        <f aca="false">SUM(D23:F23)</f>
        <v>0</v>
      </c>
      <c r="I23" s="25" t="n">
        <f aca="false">SUM(D23:G23)</f>
        <v>0</v>
      </c>
      <c r="J23" s="26"/>
      <c r="K23" s="26"/>
    </row>
    <row r="24" customFormat="false" ht="48" hidden="false" customHeight="true" outlineLevel="0" collapsed="false">
      <c r="B24" s="23" t="s">
        <v>286</v>
      </c>
      <c r="C24" s="9" t="s">
        <v>287</v>
      </c>
      <c r="D24" s="24"/>
      <c r="E24" s="24"/>
      <c r="F24" s="24"/>
      <c r="G24" s="24"/>
      <c r="H24" s="25" t="n">
        <f aca="false">SUM(D24:F24)</f>
        <v>0</v>
      </c>
      <c r="I24" s="25" t="n">
        <f aca="false">SUM(D24:G24)</f>
        <v>0</v>
      </c>
      <c r="J24" s="26"/>
      <c r="K24" s="26"/>
    </row>
    <row r="25" customFormat="false" ht="30" hidden="false" customHeight="true" outlineLevel="0" collapsed="false">
      <c r="B25" s="27"/>
      <c r="C25" s="28" t="s">
        <v>288</v>
      </c>
      <c r="D25" s="29" t="n">
        <f aca="false">SUM(D23:D24)</f>
        <v>0</v>
      </c>
      <c r="E25" s="29" t="n">
        <f aca="false">SUM(E23:E24)</f>
        <v>0</v>
      </c>
      <c r="F25" s="29" t="n">
        <f aca="false">SUM(F23:F24)</f>
        <v>0</v>
      </c>
      <c r="G25" s="29" t="n">
        <f aca="false">SUM(G23:G24)</f>
        <v>0</v>
      </c>
      <c r="H25" s="29" t="n">
        <f aca="false">SUM(H23:H24)</f>
        <v>0</v>
      </c>
      <c r="I25" s="29" t="n">
        <f aca="false">SUM(I23:I24)</f>
        <v>0</v>
      </c>
      <c r="J25" s="27"/>
      <c r="K25" s="27"/>
    </row>
    <row r="26" customFormat="false" ht="27.75" hidden="false" customHeight="true" outlineLevel="0" collapsed="false">
      <c r="B26" s="20" t="s">
        <v>125</v>
      </c>
      <c r="C26" s="21" t="s">
        <v>289</v>
      </c>
      <c r="D26" s="22"/>
      <c r="E26" s="22"/>
      <c r="F26" s="22"/>
      <c r="G26" s="22"/>
      <c r="H26" s="22"/>
      <c r="I26" s="22"/>
      <c r="J26" s="22"/>
      <c r="K26" s="22"/>
    </row>
    <row r="27" customFormat="false" ht="30" hidden="false" customHeight="true" outlineLevel="0" collapsed="false">
      <c r="B27" s="23" t="s">
        <v>290</v>
      </c>
      <c r="C27" s="9" t="s">
        <v>291</v>
      </c>
      <c r="D27" s="24"/>
      <c r="E27" s="24"/>
      <c r="F27" s="24"/>
      <c r="G27" s="24"/>
      <c r="H27" s="25" t="n">
        <f aca="false">SUM(D27:F27)</f>
        <v>0</v>
      </c>
      <c r="I27" s="25" t="n">
        <f aca="false">SUM(D27:G27)</f>
        <v>0</v>
      </c>
      <c r="J27" s="26"/>
      <c r="K27" s="26"/>
    </row>
    <row r="28" customFormat="false" ht="30" hidden="false" customHeight="true" outlineLevel="0" collapsed="false">
      <c r="B28" s="27"/>
      <c r="C28" s="28" t="s">
        <v>292</v>
      </c>
      <c r="D28" s="29" t="n">
        <f aca="false">SUM(D27:D27)</f>
        <v>0</v>
      </c>
      <c r="E28" s="29" t="n">
        <f aca="false">SUM(E27:E27)</f>
        <v>0</v>
      </c>
      <c r="F28" s="29" t="n">
        <f aca="false">SUM(F27:F27)</f>
        <v>0</v>
      </c>
      <c r="G28" s="29" t="n">
        <f aca="false">SUM(G27:G27)</f>
        <v>0</v>
      </c>
      <c r="H28" s="29" t="n">
        <f aca="false">SUM(H27:H27)</f>
        <v>0</v>
      </c>
      <c r="I28" s="29" t="n">
        <f aca="false">SUM(I27:I27)</f>
        <v>0</v>
      </c>
      <c r="J28" s="27"/>
      <c r="K28" s="27"/>
    </row>
    <row r="29" customFormat="false" ht="27.75" hidden="false" customHeight="true" outlineLevel="0" collapsed="false">
      <c r="B29" s="20" t="s">
        <v>129</v>
      </c>
      <c r="C29" s="21" t="s">
        <v>293</v>
      </c>
      <c r="D29" s="22"/>
      <c r="E29" s="22"/>
      <c r="F29" s="22"/>
      <c r="G29" s="22"/>
      <c r="H29" s="22"/>
      <c r="I29" s="22"/>
      <c r="J29" s="22"/>
      <c r="K29" s="22"/>
    </row>
    <row r="30" customFormat="false" ht="48" hidden="false" customHeight="true" outlineLevel="0" collapsed="false">
      <c r="B30" s="23" t="s">
        <v>294</v>
      </c>
      <c r="C30" s="9" t="s">
        <v>295</v>
      </c>
      <c r="D30" s="24"/>
      <c r="E30" s="24"/>
      <c r="F30" s="24"/>
      <c r="G30" s="24"/>
      <c r="H30" s="25" t="n">
        <f aca="false">SUM(D30:F30)</f>
        <v>0</v>
      </c>
      <c r="I30" s="25" t="n">
        <f aca="false">SUM(D30:G30)</f>
        <v>0</v>
      </c>
      <c r="J30" s="26"/>
      <c r="K30" s="26"/>
    </row>
    <row r="31" customFormat="false" ht="30" hidden="false" customHeight="true" outlineLevel="0" collapsed="false">
      <c r="B31" s="23" t="s">
        <v>296</v>
      </c>
      <c r="C31" s="9" t="s">
        <v>297</v>
      </c>
      <c r="D31" s="24"/>
      <c r="E31" s="24"/>
      <c r="F31" s="24"/>
      <c r="G31" s="24"/>
      <c r="H31" s="25" t="n">
        <f aca="false">SUM(D31:F31)</f>
        <v>0</v>
      </c>
      <c r="I31" s="25" t="n">
        <f aca="false">SUM(D31:G31)</f>
        <v>0</v>
      </c>
      <c r="J31" s="26"/>
      <c r="K31" s="26"/>
    </row>
    <row r="32" customFormat="false" ht="30" hidden="false" customHeight="true" outlineLevel="0" collapsed="false">
      <c r="B32" s="27"/>
      <c r="C32" s="28" t="s">
        <v>298</v>
      </c>
      <c r="D32" s="29" t="n">
        <f aca="false">SUM(D30:D31)</f>
        <v>0</v>
      </c>
      <c r="E32" s="29" t="n">
        <f aca="false">SUM(E30:E31)</f>
        <v>0</v>
      </c>
      <c r="F32" s="29" t="n">
        <f aca="false">SUM(F30:F31)</f>
        <v>0</v>
      </c>
      <c r="G32" s="29" t="n">
        <f aca="false">SUM(G30:G31)</f>
        <v>0</v>
      </c>
      <c r="H32" s="29" t="n">
        <f aca="false">SUM(H30:H31)</f>
        <v>0</v>
      </c>
      <c r="I32" s="29" t="n">
        <f aca="false">SUM(I30:I31)</f>
        <v>0</v>
      </c>
      <c r="J32" s="27"/>
      <c r="K32" s="27"/>
    </row>
    <row r="33" customFormat="false" ht="27.75" hidden="false" customHeight="true" outlineLevel="0" collapsed="false">
      <c r="B33" s="20" t="s">
        <v>133</v>
      </c>
      <c r="C33" s="21" t="s">
        <v>299</v>
      </c>
      <c r="D33" s="22"/>
      <c r="E33" s="22"/>
      <c r="F33" s="22"/>
      <c r="G33" s="22"/>
      <c r="H33" s="22"/>
      <c r="I33" s="22"/>
      <c r="J33" s="22"/>
      <c r="K33" s="22"/>
    </row>
    <row r="34" customFormat="false" ht="30" hidden="false" customHeight="true" outlineLevel="0" collapsed="false">
      <c r="B34" s="23" t="s">
        <v>300</v>
      </c>
      <c r="C34" s="9" t="s">
        <v>301</v>
      </c>
      <c r="D34" s="24"/>
      <c r="E34" s="24"/>
      <c r="F34" s="24"/>
      <c r="G34" s="24"/>
      <c r="H34" s="25" t="n">
        <f aca="false">SUM(D34:F34)</f>
        <v>0</v>
      </c>
      <c r="I34" s="25" t="n">
        <f aca="false">SUM(D34:G34)</f>
        <v>0</v>
      </c>
      <c r="J34" s="26"/>
      <c r="K34" s="26"/>
    </row>
    <row r="35" customFormat="false" ht="30" hidden="false" customHeight="true" outlineLevel="0" collapsed="false">
      <c r="B35" s="23" t="s">
        <v>302</v>
      </c>
      <c r="C35" s="9" t="s">
        <v>303</v>
      </c>
      <c r="D35" s="24"/>
      <c r="E35" s="24"/>
      <c r="F35" s="24"/>
      <c r="G35" s="24"/>
      <c r="H35" s="25" t="n">
        <f aca="false">SUM(D35:F35)</f>
        <v>0</v>
      </c>
      <c r="I35" s="25" t="n">
        <f aca="false">SUM(D35:G35)</f>
        <v>0</v>
      </c>
      <c r="J35" s="26"/>
      <c r="K35" s="26"/>
    </row>
    <row r="36" customFormat="false" ht="30" hidden="false" customHeight="true" outlineLevel="0" collapsed="false">
      <c r="B36" s="23" t="s">
        <v>304</v>
      </c>
      <c r="C36" s="9" t="s">
        <v>305</v>
      </c>
      <c r="D36" s="24"/>
      <c r="E36" s="24"/>
      <c r="F36" s="24"/>
      <c r="G36" s="24"/>
      <c r="H36" s="25" t="n">
        <f aca="false">SUM(D36:F36)</f>
        <v>0</v>
      </c>
      <c r="I36" s="25" t="n">
        <f aca="false">SUM(D36:G36)</f>
        <v>0</v>
      </c>
      <c r="J36" s="26"/>
      <c r="K36" s="26"/>
    </row>
    <row r="37" customFormat="false" ht="48" hidden="false" customHeight="true" outlineLevel="0" collapsed="false">
      <c r="B37" s="27"/>
      <c r="C37" s="28" t="s">
        <v>306</v>
      </c>
      <c r="D37" s="29" t="n">
        <f aca="false">SUM(D34:D36)</f>
        <v>0</v>
      </c>
      <c r="E37" s="29" t="n">
        <f aca="false">SUM(E34:E36)</f>
        <v>0</v>
      </c>
      <c r="F37" s="29" t="n">
        <f aca="false">SUM(F34:F36)</f>
        <v>0</v>
      </c>
      <c r="G37" s="29" t="n">
        <f aca="false">SUM(G34:G36)</f>
        <v>0</v>
      </c>
      <c r="H37" s="29" t="n">
        <f aca="false">SUM(H34:H36)</f>
        <v>0</v>
      </c>
      <c r="I37" s="29" t="n">
        <f aca="false">SUM(I34:I36)</f>
        <v>0</v>
      </c>
      <c r="J37" s="27"/>
      <c r="K37" s="27"/>
    </row>
    <row r="38" customFormat="false" ht="72.75" hidden="false" customHeight="true" outlineLevel="0" collapsed="false">
      <c r="B38" s="30" t="s">
        <v>307</v>
      </c>
      <c r="C38" s="31" t="s">
        <v>308</v>
      </c>
      <c r="D38" s="32" t="n">
        <f aca="false">D11+D15+D18+D21+D25+D28+D32+D37</f>
        <v>0</v>
      </c>
      <c r="E38" s="32" t="n">
        <f aca="false">E11+E15+E18+E21+E25+E28+E32+E37</f>
        <v>0</v>
      </c>
      <c r="F38" s="32" t="n">
        <f aca="false">F11+F15+F18+F21+F25+F28+F32+F37</f>
        <v>0</v>
      </c>
      <c r="G38" s="32" t="n">
        <f aca="false">G11+G15+G18+G21+G25+G28+G32+G37</f>
        <v>0</v>
      </c>
      <c r="H38" s="32" t="n">
        <f aca="false">H11+H15+H18+H21+H25+H28+H32+H37</f>
        <v>0</v>
      </c>
      <c r="I38" s="32" t="n">
        <f aca="false">I11+I15+I18+I21+I25+I28+I32+I37</f>
        <v>0</v>
      </c>
      <c r="J38" s="33"/>
      <c r="K38" s="33"/>
    </row>
    <row r="40" customFormat="false" ht="45" hidden="false" customHeight="true" outlineLevel="0" collapsed="false">
      <c r="B40" s="34" t="s">
        <v>309</v>
      </c>
      <c r="C40" s="34"/>
      <c r="D40" s="34"/>
      <c r="E40" s="34"/>
      <c r="F40" s="34"/>
      <c r="G40" s="34"/>
      <c r="H40" s="34"/>
      <c r="I40" s="34"/>
      <c r="J40" s="34"/>
      <c r="K40" s="34"/>
    </row>
  </sheetData>
  <mergeCells count="3">
    <mergeCell ref="B2:K2"/>
    <mergeCell ref="B3:K3"/>
    <mergeCell ref="B40:K40"/>
  </mergeCells>
  <dataValidations count="1">
    <dataValidation allowBlank="false" error="Enter a non-negative amount in INR Lakhs." errorStyle="stop" errorTitle="Invalid entry" operator="greaterThanOrEqual" showDropDown="false" showErrorMessage="true" showInputMessage="false" sqref="D7:G10 D13:G14 D17:G17 D20:G20 D23:G24 D27:G27 D30:G31 D34:G3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K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7"/>
    <col collapsed="false" customWidth="true" hidden="false" outlineLevel="0" max="9" min="8" style="0" width="20"/>
    <col collapsed="false" customWidth="true" hidden="false" outlineLevel="0" max="11" min="10" style="0" width="34"/>
  </cols>
  <sheetData>
    <row r="2" customFormat="false" ht="43.5" hidden="false" customHeight="true" outlineLevel="0" collapsed="false">
      <c r="B2" s="18" t="s">
        <v>310</v>
      </c>
      <c r="C2" s="18"/>
      <c r="D2" s="18"/>
      <c r="E2" s="18"/>
      <c r="F2" s="18"/>
      <c r="G2" s="18"/>
      <c r="H2" s="18"/>
      <c r="I2" s="18"/>
      <c r="J2" s="18"/>
      <c r="K2" s="18"/>
    </row>
    <row r="3" customFormat="false" ht="68.25" hidden="false" customHeight="true" outlineLevel="0" collapsed="false">
      <c r="B3" s="19" t="s">
        <v>311</v>
      </c>
      <c r="C3" s="19"/>
      <c r="D3" s="19"/>
      <c r="E3" s="19"/>
      <c r="F3" s="19"/>
      <c r="G3" s="19"/>
      <c r="H3" s="19"/>
      <c r="I3" s="19"/>
      <c r="J3" s="19"/>
      <c r="K3" s="19"/>
    </row>
    <row r="5" customFormat="false" ht="60" hidden="false" customHeight="true" outlineLevel="0" collapsed="false">
      <c r="B5" s="8" t="s">
        <v>101</v>
      </c>
      <c r="C5" s="8" t="s">
        <v>251</v>
      </c>
      <c r="D5" s="8" t="s">
        <v>252</v>
      </c>
      <c r="E5" s="8" t="s">
        <v>253</v>
      </c>
      <c r="F5" s="8" t="s">
        <v>254</v>
      </c>
      <c r="G5" s="8" t="s">
        <v>255</v>
      </c>
      <c r="H5" s="8" t="s">
        <v>256</v>
      </c>
      <c r="I5" s="8" t="s">
        <v>257</v>
      </c>
      <c r="J5" s="8" t="s">
        <v>258</v>
      </c>
      <c r="K5" s="8" t="s">
        <v>259</v>
      </c>
    </row>
    <row r="6" customFormat="false" ht="27.75" hidden="false" customHeight="true" outlineLevel="0" collapsed="false">
      <c r="B6" s="20" t="s">
        <v>65</v>
      </c>
      <c r="C6" s="21" t="s">
        <v>138</v>
      </c>
      <c r="D6" s="22"/>
      <c r="E6" s="22"/>
      <c r="F6" s="22"/>
      <c r="G6" s="22"/>
      <c r="H6" s="22"/>
      <c r="I6" s="22"/>
      <c r="J6" s="22"/>
      <c r="K6" s="22"/>
    </row>
    <row r="7" customFormat="false" ht="48" hidden="false" customHeight="true" outlineLevel="0" collapsed="false">
      <c r="B7" s="23" t="s">
        <v>312</v>
      </c>
      <c r="C7" s="9" t="s">
        <v>313</v>
      </c>
      <c r="D7" s="24"/>
      <c r="E7" s="24"/>
      <c r="F7" s="24"/>
      <c r="G7" s="24"/>
      <c r="H7" s="25" t="n">
        <f aca="false">SUM(D7:F7)</f>
        <v>0</v>
      </c>
      <c r="I7" s="25" t="n">
        <f aca="false">SUM(D7:G7)</f>
        <v>0</v>
      </c>
      <c r="J7" s="26"/>
      <c r="K7" s="26"/>
    </row>
    <row r="8" customFormat="false" ht="30" hidden="false" customHeight="true" outlineLevel="0" collapsed="false">
      <c r="B8" s="23" t="s">
        <v>314</v>
      </c>
      <c r="C8" s="9" t="s">
        <v>315</v>
      </c>
      <c r="D8" s="24"/>
      <c r="E8" s="24"/>
      <c r="F8" s="24"/>
      <c r="G8" s="24"/>
      <c r="H8" s="25" t="n">
        <f aca="false">SUM(D8:F8)</f>
        <v>0</v>
      </c>
      <c r="I8" s="25" t="n">
        <f aca="false">SUM(D8:G8)</f>
        <v>0</v>
      </c>
      <c r="J8" s="26"/>
      <c r="K8" s="26"/>
    </row>
    <row r="9" customFormat="false" ht="30" hidden="false" customHeight="true" outlineLevel="0" collapsed="false">
      <c r="B9" s="27"/>
      <c r="C9" s="28" t="s">
        <v>316</v>
      </c>
      <c r="D9" s="29" t="n">
        <f aca="false">SUM(D7:D8)</f>
        <v>0</v>
      </c>
      <c r="E9" s="29" t="n">
        <f aca="false">SUM(E7:E8)</f>
        <v>0</v>
      </c>
      <c r="F9" s="29" t="n">
        <f aca="false">SUM(F7:F8)</f>
        <v>0</v>
      </c>
      <c r="G9" s="29" t="n">
        <f aca="false">SUM(G7:G8)</f>
        <v>0</v>
      </c>
      <c r="H9" s="29" t="n">
        <f aca="false">SUM(H7:H8)</f>
        <v>0</v>
      </c>
      <c r="I9" s="29" t="n">
        <f aca="false">SUM(I7:I8)</f>
        <v>0</v>
      </c>
      <c r="J9" s="27"/>
      <c r="K9" s="27"/>
    </row>
    <row r="10" customFormat="false" ht="27.75" hidden="false" customHeight="true" outlineLevel="0" collapsed="false">
      <c r="B10" s="20" t="s">
        <v>69</v>
      </c>
      <c r="C10" s="21" t="s">
        <v>141</v>
      </c>
      <c r="D10" s="22"/>
      <c r="E10" s="22"/>
      <c r="F10" s="22"/>
      <c r="G10" s="22"/>
      <c r="H10" s="22"/>
      <c r="I10" s="22"/>
      <c r="J10" s="22"/>
      <c r="K10" s="22"/>
    </row>
    <row r="11" customFormat="false" ht="30" hidden="false" customHeight="true" outlineLevel="0" collapsed="false">
      <c r="B11" s="23" t="s">
        <v>317</v>
      </c>
      <c r="C11" s="9" t="s">
        <v>318</v>
      </c>
      <c r="D11" s="24"/>
      <c r="E11" s="24"/>
      <c r="F11" s="24"/>
      <c r="G11" s="24"/>
      <c r="H11" s="25" t="n">
        <f aca="false">SUM(D11:F11)</f>
        <v>0</v>
      </c>
      <c r="I11" s="25" t="n">
        <f aca="false">SUM(D11:G11)</f>
        <v>0</v>
      </c>
      <c r="J11" s="26"/>
      <c r="K11" s="26"/>
    </row>
    <row r="12" customFormat="false" ht="48" hidden="false" customHeight="true" outlineLevel="0" collapsed="false">
      <c r="B12" s="23" t="s">
        <v>319</v>
      </c>
      <c r="C12" s="9" t="s">
        <v>320</v>
      </c>
      <c r="D12" s="24"/>
      <c r="E12" s="24"/>
      <c r="F12" s="24"/>
      <c r="G12" s="24"/>
      <c r="H12" s="25" t="n">
        <f aca="false">SUM(D12:F12)</f>
        <v>0</v>
      </c>
      <c r="I12" s="25" t="n">
        <f aca="false">SUM(D12:G12)</f>
        <v>0</v>
      </c>
      <c r="J12" s="26"/>
      <c r="K12" s="26"/>
    </row>
    <row r="13" customFormat="false" ht="30" hidden="false" customHeight="true" outlineLevel="0" collapsed="false">
      <c r="B13" s="23" t="s">
        <v>321</v>
      </c>
      <c r="C13" s="9" t="s">
        <v>322</v>
      </c>
      <c r="D13" s="24"/>
      <c r="E13" s="24"/>
      <c r="F13" s="24"/>
      <c r="G13" s="24"/>
      <c r="H13" s="25" t="n">
        <f aca="false">SUM(D13:F13)</f>
        <v>0</v>
      </c>
      <c r="I13" s="25" t="n">
        <f aca="false">SUM(D13:G13)</f>
        <v>0</v>
      </c>
      <c r="J13" s="26"/>
      <c r="K13" s="26"/>
    </row>
    <row r="14" customFormat="false" ht="30" hidden="false" customHeight="true" outlineLevel="0" collapsed="false">
      <c r="B14" s="27"/>
      <c r="C14" s="28" t="s">
        <v>323</v>
      </c>
      <c r="D14" s="29" t="n">
        <f aca="false">SUM(D11:D13)</f>
        <v>0</v>
      </c>
      <c r="E14" s="29" t="n">
        <f aca="false">SUM(E11:E13)</f>
        <v>0</v>
      </c>
      <c r="F14" s="29" t="n">
        <f aca="false">SUM(F11:F13)</f>
        <v>0</v>
      </c>
      <c r="G14" s="29" t="n">
        <f aca="false">SUM(G11:G13)</f>
        <v>0</v>
      </c>
      <c r="H14" s="29" t="n">
        <f aca="false">SUM(H11:H13)</f>
        <v>0</v>
      </c>
      <c r="I14" s="29" t="n">
        <f aca="false">SUM(I11:I13)</f>
        <v>0</v>
      </c>
      <c r="J14" s="27"/>
      <c r="K14" s="27"/>
    </row>
    <row r="15" customFormat="false" ht="27.75" hidden="false" customHeight="true" outlineLevel="0" collapsed="false">
      <c r="B15" s="20" t="s">
        <v>73</v>
      </c>
      <c r="C15" s="21" t="s">
        <v>144</v>
      </c>
      <c r="D15" s="22"/>
      <c r="E15" s="22"/>
      <c r="F15" s="22"/>
      <c r="G15" s="22"/>
      <c r="H15" s="22"/>
      <c r="I15" s="22"/>
      <c r="J15" s="22"/>
      <c r="K15" s="22"/>
    </row>
    <row r="16" customFormat="false" ht="48" hidden="false" customHeight="true" outlineLevel="0" collapsed="false">
      <c r="B16" s="23" t="s">
        <v>324</v>
      </c>
      <c r="C16" s="9" t="s">
        <v>325</v>
      </c>
      <c r="D16" s="24"/>
      <c r="E16" s="24"/>
      <c r="F16" s="24"/>
      <c r="G16" s="24"/>
      <c r="H16" s="25" t="n">
        <f aca="false">SUM(D16:F16)</f>
        <v>0</v>
      </c>
      <c r="I16" s="25" t="n">
        <f aca="false">SUM(D16:G16)</f>
        <v>0</v>
      </c>
      <c r="J16" s="26"/>
      <c r="K16" s="26"/>
    </row>
    <row r="17" customFormat="false" ht="48" hidden="false" customHeight="true" outlineLevel="0" collapsed="false">
      <c r="B17" s="23" t="s">
        <v>326</v>
      </c>
      <c r="C17" s="9" t="s">
        <v>327</v>
      </c>
      <c r="D17" s="24"/>
      <c r="E17" s="24"/>
      <c r="F17" s="24"/>
      <c r="G17" s="24"/>
      <c r="H17" s="25" t="n">
        <f aca="false">SUM(D17:F17)</f>
        <v>0</v>
      </c>
      <c r="I17" s="25" t="n">
        <f aca="false">SUM(D17:G17)</f>
        <v>0</v>
      </c>
      <c r="J17" s="26"/>
      <c r="K17" s="26"/>
    </row>
    <row r="18" customFormat="false" ht="30" hidden="false" customHeight="true" outlineLevel="0" collapsed="false">
      <c r="B18" s="23" t="s">
        <v>328</v>
      </c>
      <c r="C18" s="9" t="s">
        <v>329</v>
      </c>
      <c r="D18" s="24"/>
      <c r="E18" s="24"/>
      <c r="F18" s="24"/>
      <c r="G18" s="24"/>
      <c r="H18" s="25" t="n">
        <f aca="false">SUM(D18:F18)</f>
        <v>0</v>
      </c>
      <c r="I18" s="25" t="n">
        <f aca="false">SUM(D18:G18)</f>
        <v>0</v>
      </c>
      <c r="J18" s="26"/>
      <c r="K18" s="26"/>
    </row>
    <row r="19" customFormat="false" ht="30" hidden="false" customHeight="true" outlineLevel="0" collapsed="false">
      <c r="B19" s="27"/>
      <c r="C19" s="28" t="s">
        <v>330</v>
      </c>
      <c r="D19" s="29" t="n">
        <f aca="false">SUM(D16:D18)</f>
        <v>0</v>
      </c>
      <c r="E19" s="29" t="n">
        <f aca="false">SUM(E16:E18)</f>
        <v>0</v>
      </c>
      <c r="F19" s="29" t="n">
        <f aca="false">SUM(F16:F18)</f>
        <v>0</v>
      </c>
      <c r="G19" s="29" t="n">
        <f aca="false">SUM(G16:G18)</f>
        <v>0</v>
      </c>
      <c r="H19" s="29" t="n">
        <f aca="false">SUM(H16:H18)</f>
        <v>0</v>
      </c>
      <c r="I19" s="29" t="n">
        <f aca="false">SUM(I16:I18)</f>
        <v>0</v>
      </c>
      <c r="J19" s="27"/>
      <c r="K19" s="27"/>
    </row>
    <row r="20" customFormat="false" ht="27.75" hidden="false" customHeight="true" outlineLevel="0" collapsed="false">
      <c r="B20" s="20" t="s">
        <v>76</v>
      </c>
      <c r="C20" s="21" t="s">
        <v>331</v>
      </c>
      <c r="D20" s="22"/>
      <c r="E20" s="22"/>
      <c r="F20" s="22"/>
      <c r="G20" s="22"/>
      <c r="H20" s="22"/>
      <c r="I20" s="22"/>
      <c r="J20" s="22"/>
      <c r="K20" s="22"/>
    </row>
    <row r="21" customFormat="false" ht="48" hidden="false" customHeight="true" outlineLevel="0" collapsed="false">
      <c r="B21" s="23" t="s">
        <v>332</v>
      </c>
      <c r="C21" s="9" t="s">
        <v>333</v>
      </c>
      <c r="D21" s="24"/>
      <c r="E21" s="24"/>
      <c r="F21" s="24"/>
      <c r="G21" s="24"/>
      <c r="H21" s="25" t="n">
        <f aca="false">SUM(D21:F21)</f>
        <v>0</v>
      </c>
      <c r="I21" s="25" t="n">
        <f aca="false">SUM(D21:G21)</f>
        <v>0</v>
      </c>
      <c r="J21" s="26"/>
      <c r="K21" s="26"/>
    </row>
    <row r="22" customFormat="false" ht="48" hidden="false" customHeight="true" outlineLevel="0" collapsed="false">
      <c r="B22" s="23" t="s">
        <v>334</v>
      </c>
      <c r="C22" s="9" t="s">
        <v>335</v>
      </c>
      <c r="D22" s="24"/>
      <c r="E22" s="24"/>
      <c r="F22" s="24"/>
      <c r="G22" s="24"/>
      <c r="H22" s="25" t="n">
        <f aca="false">SUM(D22:F22)</f>
        <v>0</v>
      </c>
      <c r="I22" s="25" t="n">
        <f aca="false">SUM(D22:G22)</f>
        <v>0</v>
      </c>
      <c r="J22" s="26"/>
      <c r="K22" s="26"/>
    </row>
    <row r="23" customFormat="false" ht="30" hidden="false" customHeight="true" outlineLevel="0" collapsed="false">
      <c r="B23" s="27"/>
      <c r="C23" s="28" t="s">
        <v>336</v>
      </c>
      <c r="D23" s="29" t="n">
        <f aca="false">SUM(D21:D22)</f>
        <v>0</v>
      </c>
      <c r="E23" s="29" t="n">
        <f aca="false">SUM(E21:E22)</f>
        <v>0</v>
      </c>
      <c r="F23" s="29" t="n">
        <f aca="false">SUM(F21:F22)</f>
        <v>0</v>
      </c>
      <c r="G23" s="29" t="n">
        <f aca="false">SUM(G21:G22)</f>
        <v>0</v>
      </c>
      <c r="H23" s="29" t="n">
        <f aca="false">SUM(H21:H22)</f>
        <v>0</v>
      </c>
      <c r="I23" s="29" t="n">
        <f aca="false">SUM(I21:I22)</f>
        <v>0</v>
      </c>
      <c r="J23" s="27"/>
      <c r="K23" s="27"/>
    </row>
    <row r="24" customFormat="false" ht="27.75" hidden="false" customHeight="true" outlineLevel="0" collapsed="false">
      <c r="B24" s="20" t="s">
        <v>79</v>
      </c>
      <c r="C24" s="21" t="s">
        <v>337</v>
      </c>
      <c r="D24" s="22"/>
      <c r="E24" s="22"/>
      <c r="F24" s="22"/>
      <c r="G24" s="22"/>
      <c r="H24" s="22"/>
      <c r="I24" s="22"/>
      <c r="J24" s="22"/>
      <c r="K24" s="22"/>
    </row>
    <row r="25" customFormat="false" ht="30" hidden="false" customHeight="true" outlineLevel="0" collapsed="false">
      <c r="B25" s="23" t="s">
        <v>338</v>
      </c>
      <c r="C25" s="9" t="s">
        <v>339</v>
      </c>
      <c r="D25" s="24"/>
      <c r="E25" s="24"/>
      <c r="F25" s="24"/>
      <c r="G25" s="24"/>
      <c r="H25" s="25" t="n">
        <f aca="false">SUM(D25:F25)</f>
        <v>0</v>
      </c>
      <c r="I25" s="25" t="n">
        <f aca="false">SUM(D25:G25)</f>
        <v>0</v>
      </c>
      <c r="J25" s="26"/>
      <c r="K25" s="26"/>
    </row>
    <row r="26" customFormat="false" ht="30" hidden="false" customHeight="true" outlineLevel="0" collapsed="false">
      <c r="B26" s="27"/>
      <c r="C26" s="28" t="s">
        <v>340</v>
      </c>
      <c r="D26" s="29" t="n">
        <f aca="false">SUM(D25:D25)</f>
        <v>0</v>
      </c>
      <c r="E26" s="29" t="n">
        <f aca="false">SUM(E25:E25)</f>
        <v>0</v>
      </c>
      <c r="F26" s="29" t="n">
        <f aca="false">SUM(F25:F25)</f>
        <v>0</v>
      </c>
      <c r="G26" s="29" t="n">
        <f aca="false">SUM(G25:G25)</f>
        <v>0</v>
      </c>
      <c r="H26" s="29" t="n">
        <f aca="false">SUM(H25:H25)</f>
        <v>0</v>
      </c>
      <c r="I26" s="29" t="n">
        <f aca="false">SUM(I25:I25)</f>
        <v>0</v>
      </c>
      <c r="J26" s="27"/>
      <c r="K26" s="27"/>
    </row>
    <row r="27" customFormat="false" ht="27.75" hidden="false" customHeight="true" outlineLevel="0" collapsed="false">
      <c r="B27" s="20" t="s">
        <v>82</v>
      </c>
      <c r="C27" s="21" t="s">
        <v>153</v>
      </c>
      <c r="D27" s="22"/>
      <c r="E27" s="22"/>
      <c r="F27" s="22"/>
      <c r="G27" s="22"/>
      <c r="H27" s="22"/>
      <c r="I27" s="22"/>
      <c r="J27" s="22"/>
      <c r="K27" s="22"/>
    </row>
    <row r="28" customFormat="false" ht="48" hidden="false" customHeight="true" outlineLevel="0" collapsed="false">
      <c r="B28" s="23" t="s">
        <v>341</v>
      </c>
      <c r="C28" s="9" t="s">
        <v>342</v>
      </c>
      <c r="D28" s="24"/>
      <c r="E28" s="24"/>
      <c r="F28" s="24"/>
      <c r="G28" s="24"/>
      <c r="H28" s="25" t="n">
        <f aca="false">SUM(D28:F28)</f>
        <v>0</v>
      </c>
      <c r="I28" s="25" t="n">
        <f aca="false">SUM(D28:G28)</f>
        <v>0</v>
      </c>
      <c r="J28" s="26"/>
      <c r="K28" s="26"/>
    </row>
    <row r="29" customFormat="false" ht="30" hidden="false" customHeight="true" outlineLevel="0" collapsed="false">
      <c r="B29" s="27"/>
      <c r="C29" s="28" t="s">
        <v>343</v>
      </c>
      <c r="D29" s="29" t="n">
        <f aca="false">SUM(D28:D28)</f>
        <v>0</v>
      </c>
      <c r="E29" s="29" t="n">
        <f aca="false">SUM(E28:E28)</f>
        <v>0</v>
      </c>
      <c r="F29" s="29" t="n">
        <f aca="false">SUM(F28:F28)</f>
        <v>0</v>
      </c>
      <c r="G29" s="29" t="n">
        <f aca="false">SUM(G28:G28)</f>
        <v>0</v>
      </c>
      <c r="H29" s="29" t="n">
        <f aca="false">SUM(H28:H28)</f>
        <v>0</v>
      </c>
      <c r="I29" s="29" t="n">
        <f aca="false">SUM(I28:I28)</f>
        <v>0</v>
      </c>
      <c r="J29" s="27"/>
      <c r="K29" s="27"/>
    </row>
    <row r="30" customFormat="false" ht="27.75" hidden="false" customHeight="true" outlineLevel="0" collapsed="false">
      <c r="B30" s="20" t="s">
        <v>85</v>
      </c>
      <c r="C30" s="21" t="s">
        <v>344</v>
      </c>
      <c r="D30" s="22"/>
      <c r="E30" s="22"/>
      <c r="F30" s="22"/>
      <c r="G30" s="22"/>
      <c r="H30" s="22"/>
      <c r="I30" s="22"/>
      <c r="J30" s="22"/>
      <c r="K30" s="22"/>
    </row>
    <row r="31" customFormat="false" ht="30" hidden="false" customHeight="true" outlineLevel="0" collapsed="false">
      <c r="B31" s="23" t="s">
        <v>345</v>
      </c>
      <c r="C31" s="9" t="s">
        <v>346</v>
      </c>
      <c r="D31" s="24"/>
      <c r="E31" s="24"/>
      <c r="F31" s="24"/>
      <c r="G31" s="24"/>
      <c r="H31" s="25" t="n">
        <f aca="false">SUM(D31:F31)</f>
        <v>0</v>
      </c>
      <c r="I31" s="25" t="n">
        <f aca="false">SUM(D31:G31)</f>
        <v>0</v>
      </c>
      <c r="J31" s="26"/>
      <c r="K31" s="26"/>
    </row>
    <row r="32" customFormat="false" ht="48" hidden="false" customHeight="true" outlineLevel="0" collapsed="false">
      <c r="B32" s="23" t="s">
        <v>347</v>
      </c>
      <c r="C32" s="9" t="s">
        <v>348</v>
      </c>
      <c r="D32" s="24"/>
      <c r="E32" s="24"/>
      <c r="F32" s="24"/>
      <c r="G32" s="24"/>
      <c r="H32" s="25" t="n">
        <f aca="false">SUM(D32:F32)</f>
        <v>0</v>
      </c>
      <c r="I32" s="25" t="n">
        <f aca="false">SUM(D32:G32)</f>
        <v>0</v>
      </c>
      <c r="J32" s="26"/>
      <c r="K32" s="26"/>
    </row>
    <row r="33" customFormat="false" ht="30" hidden="false" customHeight="true" outlineLevel="0" collapsed="false">
      <c r="B33" s="27"/>
      <c r="C33" s="28" t="s">
        <v>349</v>
      </c>
      <c r="D33" s="29" t="n">
        <f aca="false">SUM(D31:D32)</f>
        <v>0</v>
      </c>
      <c r="E33" s="29" t="n">
        <f aca="false">SUM(E31:E32)</f>
        <v>0</v>
      </c>
      <c r="F33" s="29" t="n">
        <f aca="false">SUM(F31:F32)</f>
        <v>0</v>
      </c>
      <c r="G33" s="29" t="n">
        <f aca="false">SUM(G31:G32)</f>
        <v>0</v>
      </c>
      <c r="H33" s="29" t="n">
        <f aca="false">SUM(H31:H32)</f>
        <v>0</v>
      </c>
      <c r="I33" s="29" t="n">
        <f aca="false">SUM(I31:I32)</f>
        <v>0</v>
      </c>
      <c r="J33" s="27"/>
      <c r="K33" s="27"/>
    </row>
    <row r="34" customFormat="false" ht="27.75" hidden="false" customHeight="true" outlineLevel="0" collapsed="false">
      <c r="B34" s="20" t="s">
        <v>88</v>
      </c>
      <c r="C34" s="21" t="s">
        <v>350</v>
      </c>
      <c r="D34" s="22"/>
      <c r="E34" s="22"/>
      <c r="F34" s="22"/>
      <c r="G34" s="22"/>
      <c r="H34" s="22"/>
      <c r="I34" s="22"/>
      <c r="J34" s="22"/>
      <c r="K34" s="22"/>
    </row>
    <row r="35" customFormat="false" ht="30" hidden="false" customHeight="true" outlineLevel="0" collapsed="false">
      <c r="B35" s="23" t="s">
        <v>351</v>
      </c>
      <c r="C35" s="9" t="s">
        <v>352</v>
      </c>
      <c r="D35" s="24"/>
      <c r="E35" s="24"/>
      <c r="F35" s="24"/>
      <c r="G35" s="24"/>
      <c r="H35" s="25" t="n">
        <f aca="false">SUM(D35:F35)</f>
        <v>0</v>
      </c>
      <c r="I35" s="25" t="n">
        <f aca="false">SUM(D35:G35)</f>
        <v>0</v>
      </c>
      <c r="J35" s="26"/>
      <c r="K35" s="26"/>
    </row>
    <row r="36" customFormat="false" ht="48" hidden="false" customHeight="true" outlineLevel="0" collapsed="false">
      <c r="B36" s="23" t="s">
        <v>353</v>
      </c>
      <c r="C36" s="9" t="s">
        <v>354</v>
      </c>
      <c r="D36" s="24"/>
      <c r="E36" s="24"/>
      <c r="F36" s="24"/>
      <c r="G36" s="24"/>
      <c r="H36" s="25" t="n">
        <f aca="false">SUM(D36:F36)</f>
        <v>0</v>
      </c>
      <c r="I36" s="25" t="n">
        <f aca="false">SUM(D36:G36)</f>
        <v>0</v>
      </c>
      <c r="J36" s="26"/>
      <c r="K36" s="26"/>
    </row>
    <row r="37" customFormat="false" ht="30" hidden="false" customHeight="true" outlineLevel="0" collapsed="false">
      <c r="B37" s="27"/>
      <c r="C37" s="28" t="s">
        <v>355</v>
      </c>
      <c r="D37" s="29" t="n">
        <f aca="false">SUM(D35:D36)</f>
        <v>0</v>
      </c>
      <c r="E37" s="29" t="n">
        <f aca="false">SUM(E35:E36)</f>
        <v>0</v>
      </c>
      <c r="F37" s="29" t="n">
        <f aca="false">SUM(F35:F36)</f>
        <v>0</v>
      </c>
      <c r="G37" s="29" t="n">
        <f aca="false">SUM(G35:G36)</f>
        <v>0</v>
      </c>
      <c r="H37" s="29" t="n">
        <f aca="false">SUM(H35:H36)</f>
        <v>0</v>
      </c>
      <c r="I37" s="29" t="n">
        <f aca="false">SUM(I35:I36)</f>
        <v>0</v>
      </c>
      <c r="J37" s="27"/>
      <c r="K37" s="27"/>
    </row>
    <row r="38" customFormat="false" ht="27.75" hidden="false" customHeight="true" outlineLevel="0" collapsed="false">
      <c r="B38" s="20" t="s">
        <v>92</v>
      </c>
      <c r="C38" s="21" t="s">
        <v>356</v>
      </c>
      <c r="D38" s="22"/>
      <c r="E38" s="22"/>
      <c r="F38" s="22"/>
      <c r="G38" s="22"/>
      <c r="H38" s="22"/>
      <c r="I38" s="22"/>
      <c r="J38" s="22"/>
      <c r="K38" s="22"/>
    </row>
    <row r="39" customFormat="false" ht="30" hidden="false" customHeight="true" outlineLevel="0" collapsed="false">
      <c r="B39" s="23" t="s">
        <v>357</v>
      </c>
      <c r="C39" s="9" t="s">
        <v>358</v>
      </c>
      <c r="D39" s="24"/>
      <c r="E39" s="24"/>
      <c r="F39" s="24"/>
      <c r="G39" s="24"/>
      <c r="H39" s="25" t="n">
        <f aca="false">SUM(D39:F39)</f>
        <v>0</v>
      </c>
      <c r="I39" s="25" t="n">
        <f aca="false">SUM(D39:G39)</f>
        <v>0</v>
      </c>
      <c r="J39" s="26"/>
      <c r="K39" s="26"/>
    </row>
    <row r="40" customFormat="false" ht="48" hidden="false" customHeight="true" outlineLevel="0" collapsed="false">
      <c r="B40" s="23" t="s">
        <v>359</v>
      </c>
      <c r="C40" s="9" t="s">
        <v>360</v>
      </c>
      <c r="D40" s="24"/>
      <c r="E40" s="24"/>
      <c r="F40" s="24"/>
      <c r="G40" s="24"/>
      <c r="H40" s="25" t="n">
        <f aca="false">SUM(D40:F40)</f>
        <v>0</v>
      </c>
      <c r="I40" s="25" t="n">
        <f aca="false">SUM(D40:G40)</f>
        <v>0</v>
      </c>
      <c r="J40" s="26"/>
      <c r="K40" s="26"/>
    </row>
    <row r="41" customFormat="false" ht="48" hidden="false" customHeight="true" outlineLevel="0" collapsed="false">
      <c r="B41" s="27"/>
      <c r="C41" s="28" t="s">
        <v>361</v>
      </c>
      <c r="D41" s="29" t="n">
        <f aca="false">SUM(D39:D40)</f>
        <v>0</v>
      </c>
      <c r="E41" s="29" t="n">
        <f aca="false">SUM(E39:E40)</f>
        <v>0</v>
      </c>
      <c r="F41" s="29" t="n">
        <f aca="false">SUM(F39:F40)</f>
        <v>0</v>
      </c>
      <c r="G41" s="29" t="n">
        <f aca="false">SUM(G39:G40)</f>
        <v>0</v>
      </c>
      <c r="H41" s="29" t="n">
        <f aca="false">SUM(H39:H40)</f>
        <v>0</v>
      </c>
      <c r="I41" s="29" t="n">
        <f aca="false">SUM(I39:I40)</f>
        <v>0</v>
      </c>
      <c r="J41" s="27"/>
      <c r="K41" s="27"/>
    </row>
    <row r="42" customFormat="false" ht="27.75" hidden="false" customHeight="true" outlineLevel="0" collapsed="false">
      <c r="B42" s="20" t="s">
        <v>96</v>
      </c>
      <c r="C42" s="21" t="s">
        <v>362</v>
      </c>
      <c r="D42" s="22"/>
      <c r="E42" s="22"/>
      <c r="F42" s="22"/>
      <c r="G42" s="22"/>
      <c r="H42" s="22"/>
      <c r="I42" s="22"/>
      <c r="J42" s="22"/>
      <c r="K42" s="22"/>
    </row>
    <row r="43" customFormat="false" ht="30" hidden="false" customHeight="true" outlineLevel="0" collapsed="false">
      <c r="B43" s="23" t="s">
        <v>363</v>
      </c>
      <c r="C43" s="9" t="s">
        <v>364</v>
      </c>
      <c r="D43" s="24"/>
      <c r="E43" s="24"/>
      <c r="F43" s="24"/>
      <c r="G43" s="24"/>
      <c r="H43" s="25" t="n">
        <f aca="false">SUM(D43:F43)</f>
        <v>0</v>
      </c>
      <c r="I43" s="25" t="n">
        <f aca="false">SUM(D43:G43)</f>
        <v>0</v>
      </c>
      <c r="J43" s="26"/>
      <c r="K43" s="26"/>
    </row>
    <row r="44" customFormat="false" ht="30" hidden="false" customHeight="true" outlineLevel="0" collapsed="false">
      <c r="B44" s="23" t="s">
        <v>365</v>
      </c>
      <c r="C44" s="9" t="s">
        <v>366</v>
      </c>
      <c r="D44" s="24"/>
      <c r="E44" s="24"/>
      <c r="F44" s="24"/>
      <c r="G44" s="24"/>
      <c r="H44" s="25" t="n">
        <f aca="false">SUM(D44:F44)</f>
        <v>0</v>
      </c>
      <c r="I44" s="25" t="n">
        <f aca="false">SUM(D44:G44)</f>
        <v>0</v>
      </c>
      <c r="J44" s="26"/>
      <c r="K44" s="26"/>
    </row>
    <row r="45" customFormat="false" ht="30" hidden="false" customHeight="true" outlineLevel="0" collapsed="false">
      <c r="B45" s="23" t="s">
        <v>367</v>
      </c>
      <c r="C45" s="9" t="s">
        <v>368</v>
      </c>
      <c r="D45" s="24"/>
      <c r="E45" s="24"/>
      <c r="F45" s="24"/>
      <c r="G45" s="24"/>
      <c r="H45" s="25" t="n">
        <f aca="false">SUM(D45:F45)</f>
        <v>0</v>
      </c>
      <c r="I45" s="25" t="n">
        <f aca="false">SUM(D45:G45)</f>
        <v>0</v>
      </c>
      <c r="J45" s="26"/>
      <c r="K45" s="26"/>
    </row>
    <row r="46" customFormat="false" ht="30" hidden="false" customHeight="true" outlineLevel="0" collapsed="false">
      <c r="B46" s="23" t="s">
        <v>369</v>
      </c>
      <c r="C46" s="9" t="s">
        <v>370</v>
      </c>
      <c r="D46" s="24"/>
      <c r="E46" s="24"/>
      <c r="F46" s="24"/>
      <c r="G46" s="24"/>
      <c r="H46" s="25" t="n">
        <f aca="false">SUM(D46:F46)</f>
        <v>0</v>
      </c>
      <c r="I46" s="25" t="n">
        <f aca="false">SUM(D46:G46)</f>
        <v>0</v>
      </c>
      <c r="J46" s="26"/>
      <c r="K46" s="26"/>
    </row>
    <row r="47" customFormat="false" ht="30" hidden="false" customHeight="true" outlineLevel="0" collapsed="false">
      <c r="B47" s="23" t="s">
        <v>371</v>
      </c>
      <c r="C47" s="9" t="s">
        <v>372</v>
      </c>
      <c r="D47" s="24"/>
      <c r="E47" s="24"/>
      <c r="F47" s="24"/>
      <c r="G47" s="24"/>
      <c r="H47" s="25" t="n">
        <f aca="false">SUM(D47:F47)</f>
        <v>0</v>
      </c>
      <c r="I47" s="25" t="n">
        <f aca="false">SUM(D47:G47)</f>
        <v>0</v>
      </c>
      <c r="J47" s="26"/>
      <c r="K47" s="26"/>
    </row>
    <row r="48" customFormat="false" ht="48" hidden="false" customHeight="true" outlineLevel="0" collapsed="false">
      <c r="B48" s="27"/>
      <c r="C48" s="28" t="s">
        <v>373</v>
      </c>
      <c r="D48" s="29" t="n">
        <f aca="false">SUM(D43:D47)</f>
        <v>0</v>
      </c>
      <c r="E48" s="29" t="n">
        <f aca="false">SUM(E43:E47)</f>
        <v>0</v>
      </c>
      <c r="F48" s="29" t="n">
        <f aca="false">SUM(F43:F47)</f>
        <v>0</v>
      </c>
      <c r="G48" s="29" t="n">
        <f aca="false">SUM(G43:G47)</f>
        <v>0</v>
      </c>
      <c r="H48" s="29" t="n">
        <f aca="false">SUM(H43:H47)</f>
        <v>0</v>
      </c>
      <c r="I48" s="29" t="n">
        <f aca="false">SUM(I43:I47)</f>
        <v>0</v>
      </c>
      <c r="J48" s="27"/>
      <c r="K48" s="27"/>
    </row>
    <row r="49" customFormat="false" ht="116.25" hidden="false" customHeight="true" outlineLevel="0" collapsed="false">
      <c r="B49" s="30" t="s">
        <v>307</v>
      </c>
      <c r="C49" s="31" t="s">
        <v>374</v>
      </c>
      <c r="D49" s="32" t="n">
        <f aca="false">D9+D14+D19+D23+D26+D29+D33+D37+D41+D48</f>
        <v>0</v>
      </c>
      <c r="E49" s="32" t="n">
        <f aca="false">E9+E14+E19+E23+E26+E29+E33+E37+E41+E48</f>
        <v>0</v>
      </c>
      <c r="F49" s="32" t="n">
        <f aca="false">F9+F14+F19+F23+F26+F29+F33+F37+F41+F48</f>
        <v>0</v>
      </c>
      <c r="G49" s="32" t="n">
        <f aca="false">G9+G14+G19+G23+G26+G29+G33+G37+G41+G48</f>
        <v>0</v>
      </c>
      <c r="H49" s="32" t="n">
        <f aca="false">H9+H14+H19+H23+H26+H29+H33+H37+H41+H48</f>
        <v>0</v>
      </c>
      <c r="I49" s="32" t="n">
        <f aca="false">I9+I14+I19+I23+I26+I29+I33+I37+I41+I48</f>
        <v>0</v>
      </c>
      <c r="J49" s="33"/>
      <c r="K49" s="33"/>
    </row>
    <row r="51" customFormat="false" ht="45" hidden="false" customHeight="true" outlineLevel="0" collapsed="false">
      <c r="B51" s="34" t="s">
        <v>309</v>
      </c>
      <c r="C51" s="34"/>
      <c r="D51" s="34"/>
      <c r="E51" s="34"/>
      <c r="F51" s="34"/>
      <c r="G51" s="34"/>
      <c r="H51" s="34"/>
      <c r="I51" s="34"/>
      <c r="J51" s="34"/>
      <c r="K51" s="34"/>
    </row>
  </sheetData>
  <mergeCells count="3">
    <mergeCell ref="B2:K2"/>
    <mergeCell ref="B3:K3"/>
    <mergeCell ref="B51:K51"/>
  </mergeCells>
  <dataValidations count="1">
    <dataValidation allowBlank="false" error="Enter a non-negative amount in INR Lakhs." errorStyle="stop" errorTitle="Invalid entry" operator="greaterThanOrEqual" showDropDown="false" showErrorMessage="true" showInputMessage="false" sqref="D7:G8 D11:G13 D16:G18 D21:G22 D25:G25 D28:G28 D31:G32 D35:G36 D39:G40 D43:G4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I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62"/>
    <col collapsed="false" customWidth="true" hidden="false" outlineLevel="0" max="7" min="4" style="0" width="17"/>
    <col collapsed="false" customWidth="true" hidden="false" outlineLevel="0" max="9" min="8" style="0" width="22"/>
  </cols>
  <sheetData>
    <row r="2" customFormat="false" ht="43.5" hidden="false" customHeight="true" outlineLevel="0" collapsed="false">
      <c r="B2" s="18" t="s">
        <v>375</v>
      </c>
      <c r="C2" s="18"/>
      <c r="D2" s="18"/>
      <c r="E2" s="18"/>
      <c r="F2" s="18"/>
      <c r="G2" s="18"/>
      <c r="H2" s="18"/>
      <c r="I2" s="18"/>
    </row>
    <row r="3" customFormat="false" ht="48" hidden="false" customHeight="true" outlineLevel="0" collapsed="false">
      <c r="B3" s="19" t="s">
        <v>376</v>
      </c>
      <c r="C3" s="19"/>
      <c r="D3" s="19"/>
      <c r="E3" s="19"/>
      <c r="F3" s="19"/>
      <c r="G3" s="19"/>
      <c r="H3" s="19"/>
      <c r="I3" s="19"/>
    </row>
    <row r="5" customFormat="false" ht="30" hidden="false" customHeight="true" outlineLevel="0" collapsed="false">
      <c r="B5" s="6" t="s">
        <v>377</v>
      </c>
      <c r="C5" s="6"/>
      <c r="D5" s="6"/>
      <c r="E5" s="6"/>
      <c r="F5" s="6"/>
      <c r="G5" s="6"/>
      <c r="H5" s="6"/>
      <c r="I5" s="6"/>
    </row>
    <row r="6" customFormat="false" ht="57.75" hidden="false" customHeight="true" outlineLevel="0" collapsed="false">
      <c r="B6" s="8" t="s">
        <v>169</v>
      </c>
      <c r="C6" s="8" t="s">
        <v>378</v>
      </c>
      <c r="D6" s="8" t="s">
        <v>379</v>
      </c>
      <c r="E6" s="8" t="s">
        <v>380</v>
      </c>
      <c r="F6" s="8" t="s">
        <v>381</v>
      </c>
      <c r="G6" s="8" t="s">
        <v>382</v>
      </c>
      <c r="H6" s="8" t="s">
        <v>383</v>
      </c>
      <c r="I6" s="8" t="s">
        <v>384</v>
      </c>
    </row>
    <row r="7" customFormat="false" ht="68.25" hidden="false" customHeight="true" outlineLevel="0" collapsed="false">
      <c r="B7" s="35" t="s">
        <v>65</v>
      </c>
      <c r="C7" s="36" t="s">
        <v>385</v>
      </c>
      <c r="D7" s="37" t="n">
        <f aca="false">'3. Revenue Income'!D38</f>
        <v>0</v>
      </c>
      <c r="E7" s="37" t="n">
        <f aca="false">'3. Revenue Income'!E38</f>
        <v>0</v>
      </c>
      <c r="F7" s="37" t="n">
        <f aca="false">'3. Revenue Income'!F38</f>
        <v>0</v>
      </c>
      <c r="G7" s="37" t="n">
        <f aca="false">'3. Revenue Income'!G38</f>
        <v>0</v>
      </c>
      <c r="H7" s="37" t="n">
        <f aca="false">'3. Revenue Income'!H38</f>
        <v>0</v>
      </c>
      <c r="I7" s="37" t="n">
        <f aca="false">'3. Revenue Income'!I38</f>
        <v>0</v>
      </c>
    </row>
    <row r="8" customFormat="false" ht="109.5" hidden="false" customHeight="true" outlineLevel="0" collapsed="false">
      <c r="B8" s="35" t="s">
        <v>69</v>
      </c>
      <c r="C8" s="36" t="s">
        <v>386</v>
      </c>
      <c r="D8" s="37" t="n">
        <f aca="false">'4. Revenue Expenditure'!D49</f>
        <v>0</v>
      </c>
      <c r="E8" s="37" t="n">
        <f aca="false">'4. Revenue Expenditure'!E49</f>
        <v>0</v>
      </c>
      <c r="F8" s="37" t="n">
        <f aca="false">'4. Revenue Expenditure'!F49</f>
        <v>0</v>
      </c>
      <c r="G8" s="37" t="n">
        <f aca="false">'4. Revenue Expenditure'!G49</f>
        <v>0</v>
      </c>
      <c r="H8" s="37" t="n">
        <f aca="false">'4. Revenue Expenditure'!H49</f>
        <v>0</v>
      </c>
      <c r="I8" s="37" t="n">
        <f aca="false">'4. Revenue Expenditure'!I49</f>
        <v>0</v>
      </c>
    </row>
    <row r="10" customFormat="false" ht="30" hidden="false" customHeight="true" outlineLevel="0" collapsed="false">
      <c r="B10" s="6" t="s">
        <v>387</v>
      </c>
      <c r="C10" s="6"/>
      <c r="D10" s="6"/>
      <c r="E10" s="6"/>
      <c r="F10" s="6"/>
      <c r="G10" s="6"/>
      <c r="H10" s="6"/>
      <c r="I10" s="6"/>
    </row>
    <row r="11" customFormat="false" ht="57.75" hidden="false" customHeight="true" outlineLevel="0" collapsed="false">
      <c r="B11" s="8" t="s">
        <v>169</v>
      </c>
      <c r="C11" s="8" t="s">
        <v>170</v>
      </c>
      <c r="D11" s="8" t="s">
        <v>252</v>
      </c>
      <c r="E11" s="8" t="s">
        <v>253</v>
      </c>
      <c r="F11" s="8" t="s">
        <v>254</v>
      </c>
      <c r="G11" s="8" t="s">
        <v>255</v>
      </c>
      <c r="H11" s="8" t="s">
        <v>388</v>
      </c>
      <c r="I11" s="8" t="s">
        <v>389</v>
      </c>
    </row>
    <row r="12" customFormat="false" ht="48" hidden="false" customHeight="true" outlineLevel="0" collapsed="false">
      <c r="B12" s="35" t="s">
        <v>73</v>
      </c>
      <c r="C12" s="36" t="s">
        <v>390</v>
      </c>
      <c r="D12" s="38" t="str">
        <f aca="false">IF(D8=0,"-",D7/D8)</f>
        <v>-</v>
      </c>
      <c r="E12" s="38" t="str">
        <f aca="false">IF(E8=0,"-",E7/E8)</f>
        <v>-</v>
      </c>
      <c r="F12" s="38" t="str">
        <f aca="false">IF(F8=0,"-",F7/F8)</f>
        <v>-</v>
      </c>
      <c r="G12" s="38" t="str">
        <f aca="false">IF(G8=0,"-",G7/G8)</f>
        <v>-</v>
      </c>
      <c r="H12" s="38" t="str">
        <f aca="false">IF(H8=0,"-",H7/H8)</f>
        <v>-</v>
      </c>
      <c r="I12" s="38" t="str">
        <f aca="false">IF(I8=0,"-",I7/I8)</f>
        <v>-</v>
      </c>
    </row>
    <row r="13" customFormat="false" ht="48" hidden="false" customHeight="true" outlineLevel="0" collapsed="false">
      <c r="B13" s="35" t="s">
        <v>76</v>
      </c>
      <c r="C13" s="9" t="s">
        <v>391</v>
      </c>
      <c r="D13" s="39" t="n">
        <f aca="false">D7-D8</f>
        <v>0</v>
      </c>
      <c r="E13" s="39" t="n">
        <f aca="false">E7-E8</f>
        <v>0</v>
      </c>
      <c r="F13" s="39" t="n">
        <f aca="false">F7-F8</f>
        <v>0</v>
      </c>
      <c r="G13" s="39" t="n">
        <f aca="false">G7-G8</f>
        <v>0</v>
      </c>
      <c r="H13" s="39" t="n">
        <f aca="false">H7-H8</f>
        <v>0</v>
      </c>
      <c r="I13" s="39" t="n">
        <f aca="false">I7-I8</f>
        <v>0</v>
      </c>
    </row>
    <row r="14" customFormat="false" ht="30" hidden="false" customHeight="true" outlineLevel="0" collapsed="false">
      <c r="B14" s="35" t="s">
        <v>79</v>
      </c>
      <c r="C14" s="9" t="s">
        <v>392</v>
      </c>
      <c r="D14" s="40" t="str">
        <f aca="false">IF(D7=0,"-",D13/D7)</f>
        <v>-</v>
      </c>
      <c r="E14" s="40" t="str">
        <f aca="false">IF(E7=0,"-",E13/E7)</f>
        <v>-</v>
      </c>
      <c r="F14" s="40" t="str">
        <f aca="false">IF(F7=0,"-",F13/F7)</f>
        <v>-</v>
      </c>
      <c r="G14" s="40" t="str">
        <f aca="false">IF(G7=0,"-",G13/G7)</f>
        <v>-</v>
      </c>
      <c r="H14" s="40" t="str">
        <f aca="false">IF(H7=0,"-",H13/H7)</f>
        <v>-</v>
      </c>
      <c r="I14" s="40" t="str">
        <f aca="false">IF(I7=0,"-",I13/I7)</f>
        <v>-</v>
      </c>
    </row>
    <row r="15" customFormat="false" ht="30" hidden="false" customHeight="true" outlineLevel="0" collapsed="false">
      <c r="B15" s="35" t="s">
        <v>82</v>
      </c>
      <c r="C15" s="9" t="s">
        <v>393</v>
      </c>
      <c r="D15" s="40" t="str">
        <f aca="false">IF(D7=0,"-",'3. Revenue Income'!D11/D7)</f>
        <v>-</v>
      </c>
      <c r="E15" s="40" t="str">
        <f aca="false">IF(E7=0,"-",'3. Revenue Income'!E11/E7)</f>
        <v>-</v>
      </c>
      <c r="F15" s="40" t="str">
        <f aca="false">IF(F7=0,"-",'3. Revenue Income'!F11/F7)</f>
        <v>-</v>
      </c>
      <c r="G15" s="40" t="str">
        <f aca="false">IF(G7=0,"-",'3. Revenue Income'!G11/G7)</f>
        <v>-</v>
      </c>
      <c r="H15" s="40" t="str">
        <f aca="false">IF(H7=0,"-",'3. Revenue Income'!H11/H7)</f>
        <v>-</v>
      </c>
      <c r="I15" s="40" t="str">
        <f aca="false">IF(I7=0,"-",'3. Revenue Income'!I11/I7)</f>
        <v>-</v>
      </c>
    </row>
    <row r="16" customFormat="false" ht="48" hidden="false" customHeight="true" outlineLevel="0" collapsed="false">
      <c r="B16" s="35" t="s">
        <v>85</v>
      </c>
      <c r="C16" s="9" t="s">
        <v>394</v>
      </c>
      <c r="D16" s="40" t="str">
        <f aca="false">IF(D8=0,"-",('4. Revenue Expenditure'!D9+'4. Revenue Expenditure'!D37)/D8)</f>
        <v>-</v>
      </c>
      <c r="E16" s="40" t="str">
        <f aca="false">IF(E8=0,"-",('4. Revenue Expenditure'!E9+'4. Revenue Expenditure'!E37)/E8)</f>
        <v>-</v>
      </c>
      <c r="F16" s="40" t="str">
        <f aca="false">IF(F8=0,"-",('4. Revenue Expenditure'!F9+'4. Revenue Expenditure'!F37)/F8)</f>
        <v>-</v>
      </c>
      <c r="G16" s="40" t="str">
        <f aca="false">IF(G8=0,"-",('4. Revenue Expenditure'!G9+'4. Revenue Expenditure'!G37)/G8)</f>
        <v>-</v>
      </c>
      <c r="H16" s="40" t="str">
        <f aca="false">IF(H8=0,"-",('4. Revenue Expenditure'!H9+'4. Revenue Expenditure'!H37)/H8)</f>
        <v>-</v>
      </c>
      <c r="I16" s="40" t="str">
        <f aca="false">IF(I8=0,"-",('4. Revenue Expenditure'!I9+'4. Revenue Expenditure'!I37)/I8)</f>
        <v>-</v>
      </c>
    </row>
    <row r="17" customFormat="false" ht="30" hidden="false" customHeight="true" outlineLevel="0" collapsed="false">
      <c r="B17" s="35" t="s">
        <v>88</v>
      </c>
      <c r="C17" s="9" t="s">
        <v>395</v>
      </c>
      <c r="D17" s="40" t="str">
        <f aca="false">IF(OR(E7=0,D7=0),"-",D7/E7-1)</f>
        <v>-</v>
      </c>
      <c r="E17" s="40" t="str">
        <f aca="false">IF(OR(F7=0,E7=0),"-",E7/F7-1)</f>
        <v>-</v>
      </c>
      <c r="F17" s="40" t="str">
        <f aca="false">IF(OR(G7=0,F7=0),"-",F7/G7-1)</f>
        <v>-</v>
      </c>
      <c r="G17" s="40" t="s">
        <v>396</v>
      </c>
      <c r="H17" s="40" t="s">
        <v>396</v>
      </c>
      <c r="I17" s="40" t="s">
        <v>396</v>
      </c>
    </row>
    <row r="18" customFormat="false" ht="30" hidden="false" customHeight="true" outlineLevel="0" collapsed="false">
      <c r="B18" s="35" t="s">
        <v>92</v>
      </c>
      <c r="C18" s="9" t="s">
        <v>397</v>
      </c>
      <c r="D18" s="40" t="str">
        <f aca="false">IF(OR(E8=0,D8=0),"-",D8/E8-1)</f>
        <v>-</v>
      </c>
      <c r="E18" s="40" t="str">
        <f aca="false">IF(OR(F8=0,E8=0),"-",E8/F8-1)</f>
        <v>-</v>
      </c>
      <c r="F18" s="40" t="str">
        <f aca="false">IF(OR(G8=0,F8=0),"-",F8/G8-1)</f>
        <v>-</v>
      </c>
      <c r="G18" s="40" t="s">
        <v>396</v>
      </c>
      <c r="H18" s="40" t="s">
        <v>396</v>
      </c>
      <c r="I18" s="40" t="s">
        <v>396</v>
      </c>
    </row>
    <row r="19" customFormat="false" ht="79.5" hidden="false" customHeight="true" outlineLevel="0" collapsed="false">
      <c r="B19" s="35" t="s">
        <v>96</v>
      </c>
      <c r="C19" s="9" t="s">
        <v>398</v>
      </c>
      <c r="D19" s="41" t="str">
        <f aca="false">IF(D7=0,"Enter data",IF(D12&lt;0.95,"Band I – Operating deficit",IF(D12&lt;1,"Band II – Marginal / break-even",IF(D12&lt;=1.25,"Band III – Healthy / self-sustaining","Band IV – High surplus (show reinvestment)"))))</f>
        <v>Enter data</v>
      </c>
      <c r="E19" s="41" t="str">
        <f aca="false">IF(E7=0,"Enter data",IF(E12&lt;0.95,"Band I – Operating deficit",IF(E12&lt;1,"Band II – Marginal / break-even",IF(E12&lt;=1.25,"Band III – Healthy / self-sustaining","Band IV – High surplus (show reinvestment)"))))</f>
        <v>Enter data</v>
      </c>
      <c r="F19" s="41" t="str">
        <f aca="false">IF(F7=0,"Enter data",IF(F12&lt;0.95,"Band I – Operating deficit",IF(F12&lt;1,"Band II – Marginal / break-even",IF(F12&lt;=1.25,"Band III – Healthy / self-sustaining","Band IV – High surplus (show reinvestment)"))))</f>
        <v>Enter data</v>
      </c>
      <c r="G19" s="41" t="str">
        <f aca="false">IF(G7=0,"Enter data",IF(G12&lt;0.95,"Band I – Operating deficit",IF(G12&lt;1,"Band II – Marginal / break-even",IF(G12&lt;=1.25,"Band III – Healthy / self-sustaining","Band IV – High surplus (show reinvestment)"))))</f>
        <v>Enter data</v>
      </c>
      <c r="H19" s="41" t="str">
        <f aca="false">IF(H7=0,"Enter data",IF(H12&lt;0.95,"Band I – Operating deficit",IF(H12&lt;1,"Band II – Marginal / break-even",IF(H12&lt;=1.25,"Band III – Healthy / self-sustaining","Band IV – High surplus (show reinvestment)"))))</f>
        <v>Enter data</v>
      </c>
      <c r="I19" s="41" t="str">
        <f aca="false">IF(I7=0,"Enter data",IF(I12&lt;0.95,"Band I – Operating deficit",IF(I12&lt;1,"Band II – Marginal / break-even",IF(I12&lt;=1.25,"Band III – Healthy / self-sustaining","Band IV – High surplus (show reinvestment)"))))</f>
        <v>Enter data</v>
      </c>
    </row>
    <row r="21" customFormat="false" ht="30" hidden="false" customHeight="true" outlineLevel="0" collapsed="false">
      <c r="B21" s="6" t="s">
        <v>399</v>
      </c>
      <c r="C21" s="6"/>
      <c r="D21" s="6"/>
      <c r="E21" s="6"/>
      <c r="F21" s="6"/>
      <c r="G21" s="6"/>
      <c r="H21" s="6"/>
      <c r="I21" s="6"/>
    </row>
    <row r="22" customFormat="false" ht="57.75" hidden="false" customHeight="true" outlineLevel="0" collapsed="false">
      <c r="B22" s="8" t="s">
        <v>101</v>
      </c>
      <c r="C22" s="8" t="s">
        <v>400</v>
      </c>
      <c r="D22" s="8" t="s">
        <v>401</v>
      </c>
      <c r="E22" s="8" t="s">
        <v>402</v>
      </c>
    </row>
    <row r="23" customFormat="false" ht="27.75" hidden="false" customHeight="true" outlineLevel="0" collapsed="false">
      <c r="B23" s="23" t="s">
        <v>105</v>
      </c>
      <c r="C23" s="42" t="s">
        <v>106</v>
      </c>
      <c r="D23" s="43" t="n">
        <f aca="false">'3. Revenue Income'!H11</f>
        <v>0</v>
      </c>
      <c r="E23" s="44" t="str">
        <f aca="false">IF($H$7=0,"-",D23/$H$7)</f>
        <v>-</v>
      </c>
    </row>
    <row r="24" customFormat="false" ht="27.75" hidden="false" customHeight="true" outlineLevel="0" collapsed="false">
      <c r="B24" s="23" t="s">
        <v>109</v>
      </c>
      <c r="C24" s="42" t="s">
        <v>269</v>
      </c>
      <c r="D24" s="43" t="n">
        <f aca="false">'3. Revenue Income'!H15</f>
        <v>0</v>
      </c>
      <c r="E24" s="44" t="str">
        <f aca="false">IF($H$7=0,"-",D24/$H$7)</f>
        <v>-</v>
      </c>
    </row>
    <row r="25" customFormat="false" ht="27.75" hidden="false" customHeight="true" outlineLevel="0" collapsed="false">
      <c r="B25" s="23" t="s">
        <v>113</v>
      </c>
      <c r="C25" s="42" t="s">
        <v>275</v>
      </c>
      <c r="D25" s="43" t="n">
        <f aca="false">'3. Revenue Income'!H18</f>
        <v>0</v>
      </c>
      <c r="E25" s="44" t="str">
        <f aca="false">IF($H$7=0,"-",D25/$H$7)</f>
        <v>-</v>
      </c>
    </row>
    <row r="26" customFormat="false" ht="27.75" hidden="false" customHeight="true" outlineLevel="0" collapsed="false">
      <c r="B26" s="23" t="s">
        <v>117</v>
      </c>
      <c r="C26" s="42" t="s">
        <v>279</v>
      </c>
      <c r="D26" s="43" t="n">
        <f aca="false">'3. Revenue Income'!H21</f>
        <v>0</v>
      </c>
      <c r="E26" s="44" t="str">
        <f aca="false">IF($H$7=0,"-",D26/$H$7)</f>
        <v>-</v>
      </c>
    </row>
    <row r="27" customFormat="false" ht="27.75" hidden="false" customHeight="true" outlineLevel="0" collapsed="false">
      <c r="B27" s="23" t="s">
        <v>121</v>
      </c>
      <c r="C27" s="42" t="s">
        <v>283</v>
      </c>
      <c r="D27" s="43" t="n">
        <f aca="false">'3. Revenue Income'!H25</f>
        <v>0</v>
      </c>
      <c r="E27" s="44" t="str">
        <f aca="false">IF($H$7=0,"-",D27/$H$7)</f>
        <v>-</v>
      </c>
    </row>
    <row r="28" customFormat="false" ht="27.75" hidden="false" customHeight="true" outlineLevel="0" collapsed="false">
      <c r="B28" s="23" t="s">
        <v>125</v>
      </c>
      <c r="C28" s="42" t="s">
        <v>289</v>
      </c>
      <c r="D28" s="43" t="n">
        <f aca="false">'3. Revenue Income'!H28</f>
        <v>0</v>
      </c>
      <c r="E28" s="44" t="str">
        <f aca="false">IF($H$7=0,"-",D28/$H$7)</f>
        <v>-</v>
      </c>
    </row>
    <row r="29" customFormat="false" ht="27.75" hidden="false" customHeight="true" outlineLevel="0" collapsed="false">
      <c r="B29" s="23" t="s">
        <v>129</v>
      </c>
      <c r="C29" s="42" t="s">
        <v>293</v>
      </c>
      <c r="D29" s="43" t="n">
        <f aca="false">'3. Revenue Income'!H32</f>
        <v>0</v>
      </c>
      <c r="E29" s="44" t="str">
        <f aca="false">IF($H$7=0,"-",D29/$H$7)</f>
        <v>-</v>
      </c>
    </row>
    <row r="30" customFormat="false" ht="27.75" hidden="false" customHeight="true" outlineLevel="0" collapsed="false">
      <c r="B30" s="23" t="s">
        <v>133</v>
      </c>
      <c r="C30" s="42" t="s">
        <v>299</v>
      </c>
      <c r="D30" s="43" t="n">
        <f aca="false">'3. Revenue Income'!H37</f>
        <v>0</v>
      </c>
      <c r="E30" s="44" t="str">
        <f aca="false">IF($H$7=0,"-",D30/$H$7)</f>
        <v>-</v>
      </c>
    </row>
    <row r="32" customFormat="false" ht="57.75" hidden="false" customHeight="true" outlineLevel="0" collapsed="false">
      <c r="B32" s="8" t="s">
        <v>101</v>
      </c>
      <c r="C32" s="8" t="s">
        <v>403</v>
      </c>
      <c r="D32" s="8" t="s">
        <v>401</v>
      </c>
      <c r="E32" s="8" t="s">
        <v>402</v>
      </c>
    </row>
    <row r="33" customFormat="false" ht="27.75" hidden="false" customHeight="true" outlineLevel="0" collapsed="false">
      <c r="B33" s="23" t="s">
        <v>65</v>
      </c>
      <c r="C33" s="42" t="s">
        <v>138</v>
      </c>
      <c r="D33" s="43" t="n">
        <f aca="false">'4. Revenue Expenditure'!H9</f>
        <v>0</v>
      </c>
      <c r="E33" s="44" t="str">
        <f aca="false">IF($H$8=0,"-",D33/$H$8)</f>
        <v>-</v>
      </c>
    </row>
    <row r="34" customFormat="false" ht="27.75" hidden="false" customHeight="true" outlineLevel="0" collapsed="false">
      <c r="B34" s="23" t="s">
        <v>69</v>
      </c>
      <c r="C34" s="42" t="s">
        <v>141</v>
      </c>
      <c r="D34" s="43" t="n">
        <f aca="false">'4. Revenue Expenditure'!H14</f>
        <v>0</v>
      </c>
      <c r="E34" s="44" t="str">
        <f aca="false">IF($H$8=0,"-",D34/$H$8)</f>
        <v>-</v>
      </c>
    </row>
    <row r="35" customFormat="false" ht="27.75" hidden="false" customHeight="true" outlineLevel="0" collapsed="false">
      <c r="B35" s="23" t="s">
        <v>73</v>
      </c>
      <c r="C35" s="42" t="s">
        <v>144</v>
      </c>
      <c r="D35" s="43" t="n">
        <f aca="false">'4. Revenue Expenditure'!H19</f>
        <v>0</v>
      </c>
      <c r="E35" s="44" t="str">
        <f aca="false">IF($H$8=0,"-",D35/$H$8)</f>
        <v>-</v>
      </c>
    </row>
    <row r="36" customFormat="false" ht="27.75" hidden="false" customHeight="true" outlineLevel="0" collapsed="false">
      <c r="B36" s="23" t="s">
        <v>76</v>
      </c>
      <c r="C36" s="42" t="s">
        <v>331</v>
      </c>
      <c r="D36" s="43" t="n">
        <f aca="false">'4. Revenue Expenditure'!H23</f>
        <v>0</v>
      </c>
      <c r="E36" s="44" t="str">
        <f aca="false">IF($H$8=0,"-",D36/$H$8)</f>
        <v>-</v>
      </c>
    </row>
    <row r="37" customFormat="false" ht="27.75" hidden="false" customHeight="true" outlineLevel="0" collapsed="false">
      <c r="B37" s="23" t="s">
        <v>79</v>
      </c>
      <c r="C37" s="42" t="s">
        <v>337</v>
      </c>
      <c r="D37" s="43" t="n">
        <f aca="false">'4. Revenue Expenditure'!H26</f>
        <v>0</v>
      </c>
      <c r="E37" s="44" t="str">
        <f aca="false">IF($H$8=0,"-",D37/$H$8)</f>
        <v>-</v>
      </c>
    </row>
    <row r="38" customFormat="false" ht="27.75" hidden="false" customHeight="true" outlineLevel="0" collapsed="false">
      <c r="B38" s="23" t="s">
        <v>82</v>
      </c>
      <c r="C38" s="42" t="s">
        <v>153</v>
      </c>
      <c r="D38" s="43" t="n">
        <f aca="false">'4. Revenue Expenditure'!H29</f>
        <v>0</v>
      </c>
      <c r="E38" s="44" t="str">
        <f aca="false">IF($H$8=0,"-",D38/$H$8)</f>
        <v>-</v>
      </c>
    </row>
    <row r="39" customFormat="false" ht="27.75" hidden="false" customHeight="true" outlineLevel="0" collapsed="false">
      <c r="B39" s="23" t="s">
        <v>85</v>
      </c>
      <c r="C39" s="42" t="s">
        <v>344</v>
      </c>
      <c r="D39" s="43" t="n">
        <f aca="false">'4. Revenue Expenditure'!H33</f>
        <v>0</v>
      </c>
      <c r="E39" s="44" t="str">
        <f aca="false">IF($H$8=0,"-",D39/$H$8)</f>
        <v>-</v>
      </c>
    </row>
    <row r="40" customFormat="false" ht="27.75" hidden="false" customHeight="true" outlineLevel="0" collapsed="false">
      <c r="B40" s="23" t="s">
        <v>88</v>
      </c>
      <c r="C40" s="42" t="s">
        <v>350</v>
      </c>
      <c r="D40" s="43" t="n">
        <f aca="false">'4. Revenue Expenditure'!H37</f>
        <v>0</v>
      </c>
      <c r="E40" s="44" t="str">
        <f aca="false">IF($H$8=0,"-",D40/$H$8)</f>
        <v>-</v>
      </c>
    </row>
    <row r="41" customFormat="false" ht="27.75" hidden="false" customHeight="true" outlineLevel="0" collapsed="false">
      <c r="B41" s="23" t="s">
        <v>92</v>
      </c>
      <c r="C41" s="42" t="s">
        <v>356</v>
      </c>
      <c r="D41" s="43" t="n">
        <f aca="false">'4. Revenue Expenditure'!H41</f>
        <v>0</v>
      </c>
      <c r="E41" s="44" t="str">
        <f aca="false">IF($H$8=0,"-",D41/$H$8)</f>
        <v>-</v>
      </c>
    </row>
    <row r="42" customFormat="false" ht="27.75" hidden="false" customHeight="true" outlineLevel="0" collapsed="false">
      <c r="B42" s="23" t="s">
        <v>96</v>
      </c>
      <c r="C42" s="42" t="s">
        <v>362</v>
      </c>
      <c r="D42" s="43" t="n">
        <f aca="false">'4. Revenue Expenditure'!H48</f>
        <v>0</v>
      </c>
      <c r="E42" s="44" t="str">
        <f aca="false">IF($H$8=0,"-",D42/$H$8)</f>
        <v>-</v>
      </c>
    </row>
    <row r="44" customFormat="false" ht="30" hidden="false" customHeight="true" outlineLevel="0" collapsed="false">
      <c r="B44" s="6" t="s">
        <v>404</v>
      </c>
      <c r="C44" s="6"/>
      <c r="D44" s="6"/>
      <c r="E44" s="6"/>
      <c r="F44" s="6"/>
      <c r="G44" s="6"/>
      <c r="H44" s="6"/>
      <c r="I44" s="6"/>
    </row>
    <row r="45" customFormat="false" ht="57.75" hidden="false" customHeight="true" outlineLevel="0" collapsed="false">
      <c r="B45" s="8" t="s">
        <v>169</v>
      </c>
      <c r="C45" s="8" t="s">
        <v>378</v>
      </c>
      <c r="D45" s="8" t="s">
        <v>252</v>
      </c>
      <c r="E45" s="8" t="s">
        <v>253</v>
      </c>
      <c r="F45" s="8" t="s">
        <v>254</v>
      </c>
      <c r="G45" s="8" t="s">
        <v>255</v>
      </c>
      <c r="H45" s="8" t="s">
        <v>405</v>
      </c>
      <c r="I45" s="8" t="s">
        <v>406</v>
      </c>
    </row>
    <row r="46" customFormat="false" ht="48" hidden="false" customHeight="true" outlineLevel="0" collapsed="false">
      <c r="B46" s="35" t="s">
        <v>280</v>
      </c>
      <c r="C46" s="36" t="s">
        <v>407</v>
      </c>
      <c r="D46" s="45" t="n">
        <f aca="false">D8-'4. Revenue Expenditure'!D9-'4. Revenue Expenditure'!D37</f>
        <v>0</v>
      </c>
      <c r="E46" s="45" t="n">
        <f aca="false">E8-'4. Revenue Expenditure'!E9-'4. Revenue Expenditure'!E37</f>
        <v>0</v>
      </c>
      <c r="F46" s="45" t="n">
        <f aca="false">F8-'4. Revenue Expenditure'!F9-'4. Revenue Expenditure'!F37</f>
        <v>0</v>
      </c>
      <c r="G46" s="45" t="n">
        <f aca="false">G8-'4. Revenue Expenditure'!G9-'4. Revenue Expenditure'!G37</f>
        <v>0</v>
      </c>
      <c r="H46" s="45" t="n">
        <f aca="false">H8-'4. Revenue Expenditure'!H9-'4. Revenue Expenditure'!H37</f>
        <v>0</v>
      </c>
      <c r="I46" s="45" t="n">
        <f aca="false">I8-'4. Revenue Expenditure'!I9-'4. Revenue Expenditure'!I37</f>
        <v>0</v>
      </c>
    </row>
    <row r="47" customFormat="false" ht="45" hidden="false" customHeight="true" outlineLevel="0" collapsed="false">
      <c r="B47" s="34" t="s">
        <v>408</v>
      </c>
      <c r="C47" s="34"/>
      <c r="D47" s="34"/>
      <c r="E47" s="34"/>
      <c r="F47" s="34"/>
      <c r="G47" s="34"/>
      <c r="H47" s="34"/>
      <c r="I47" s="34"/>
    </row>
    <row r="49" customFormat="false" ht="30" hidden="false" customHeight="true" outlineLevel="0" collapsed="false">
      <c r="B49" s="6" t="s">
        <v>409</v>
      </c>
      <c r="C49" s="6"/>
      <c r="D49" s="6"/>
      <c r="E49" s="6"/>
      <c r="F49" s="6"/>
      <c r="G49" s="6"/>
      <c r="H49" s="6"/>
      <c r="I49" s="6"/>
    </row>
    <row r="50" customFormat="false" ht="57.75" hidden="false" customHeight="true" outlineLevel="0" collapsed="false">
      <c r="B50" s="8" t="s">
        <v>169</v>
      </c>
      <c r="C50" s="8" t="s">
        <v>378</v>
      </c>
      <c r="D50" s="8" t="s">
        <v>252</v>
      </c>
      <c r="E50" s="8" t="s">
        <v>253</v>
      </c>
      <c r="F50" s="8" t="s">
        <v>254</v>
      </c>
      <c r="G50" s="8" t="s">
        <v>255</v>
      </c>
      <c r="H50" s="8"/>
      <c r="I50" s="8"/>
    </row>
    <row r="51" customFormat="false" ht="30" hidden="false" customHeight="true" outlineLevel="0" collapsed="false">
      <c r="B51" s="35" t="s">
        <v>284</v>
      </c>
      <c r="C51" s="9" t="s">
        <v>410</v>
      </c>
      <c r="D51" s="24"/>
      <c r="E51" s="24"/>
      <c r="F51" s="24"/>
      <c r="G51" s="24"/>
    </row>
    <row r="52" customFormat="false" ht="48" hidden="false" customHeight="true" outlineLevel="0" collapsed="false">
      <c r="B52" s="35" t="s">
        <v>286</v>
      </c>
      <c r="C52" s="9" t="s">
        <v>411</v>
      </c>
      <c r="D52" s="24"/>
      <c r="E52" s="24"/>
      <c r="F52" s="24"/>
      <c r="G52" s="24"/>
    </row>
    <row r="53" customFormat="false" ht="48" hidden="false" customHeight="true" outlineLevel="0" collapsed="false">
      <c r="B53" s="35" t="s">
        <v>412</v>
      </c>
      <c r="C53" s="36" t="s">
        <v>413</v>
      </c>
      <c r="D53" s="45" t="str">
        <f aca="false">IF(D51="","-",D51-D52-D7)</f>
        <v>-</v>
      </c>
      <c r="E53" s="45" t="str">
        <f aca="false">IF(E51="","-",E51-E52-E7)</f>
        <v>-</v>
      </c>
      <c r="F53" s="45" t="str">
        <f aca="false">IF(F51="","-",F51-F52-F7)</f>
        <v>-</v>
      </c>
      <c r="G53" s="45" t="str">
        <f aca="false">IF(G51="","-",G51-G52-G7)</f>
        <v>-</v>
      </c>
    </row>
    <row r="54" customFormat="false" ht="48" hidden="false" customHeight="true" outlineLevel="0" collapsed="false">
      <c r="B54" s="35" t="s">
        <v>414</v>
      </c>
      <c r="C54" s="9" t="s">
        <v>415</v>
      </c>
      <c r="D54" s="24"/>
      <c r="E54" s="24"/>
      <c r="F54" s="24"/>
      <c r="G54" s="24"/>
    </row>
    <row r="55" customFormat="false" ht="30" hidden="false" customHeight="true" outlineLevel="0" collapsed="false">
      <c r="B55" s="35" t="s">
        <v>416</v>
      </c>
      <c r="C55" s="9" t="s">
        <v>417</v>
      </c>
      <c r="D55" s="24"/>
      <c r="E55" s="24"/>
      <c r="F55" s="24"/>
      <c r="G55" s="24"/>
    </row>
    <row r="56" customFormat="false" ht="48" hidden="false" customHeight="true" outlineLevel="0" collapsed="false">
      <c r="B56" s="35" t="s">
        <v>418</v>
      </c>
      <c r="C56" s="9" t="s">
        <v>419</v>
      </c>
      <c r="D56" s="24"/>
      <c r="E56" s="24"/>
      <c r="F56" s="24"/>
      <c r="G56" s="24"/>
    </row>
    <row r="57" customFormat="false" ht="48" hidden="false" customHeight="true" outlineLevel="0" collapsed="false">
      <c r="B57" s="35" t="s">
        <v>420</v>
      </c>
      <c r="C57" s="36" t="s">
        <v>421</v>
      </c>
      <c r="D57" s="45" t="str">
        <f aca="false">IF(D54="","-",D54-D55-D56-D8)</f>
        <v>-</v>
      </c>
      <c r="E57" s="45" t="str">
        <f aca="false">IF(E54="","-",E54-E55-E56-E8)</f>
        <v>-</v>
      </c>
      <c r="F57" s="45" t="str">
        <f aca="false">IF(F54="","-",F54-F55-F56-F8)</f>
        <v>-</v>
      </c>
      <c r="G57" s="45" t="str">
        <f aca="false">IF(G54="","-",G54-G55-G56-G8)</f>
        <v>-</v>
      </c>
    </row>
    <row r="58" customFormat="false" ht="49.5" hidden="false" customHeight="true" outlineLevel="0" collapsed="false">
      <c r="B58" s="35" t="s">
        <v>422</v>
      </c>
      <c r="C58" s="42" t="s">
        <v>423</v>
      </c>
      <c r="D58" s="41" t="str">
        <f aca="false">IF(OR(D51="",D54=""),"Enter audited totals",IF(AND(ABS(D53)&lt;0.01,ABS(D57)&lt;0.01),"Reconciled","Check differences"))</f>
        <v>Enter audited totals</v>
      </c>
      <c r="E58" s="41" t="str">
        <f aca="false">IF(OR(E51="",E54=""),"Enter audited totals",IF(AND(ABS(E53)&lt;0.01,ABS(E57)&lt;0.01),"Reconciled","Check differences"))</f>
        <v>Enter audited totals</v>
      </c>
      <c r="F58" s="41" t="str">
        <f aca="false">IF(OR(F51="",F54=""),"Enter audited totals",IF(AND(ABS(F53)&lt;0.01,ABS(F57)&lt;0.01),"Reconciled","Check differences"))</f>
        <v>Enter audited totals</v>
      </c>
      <c r="G58" s="41" t="str">
        <f aca="false">IF(OR(G51="",G54=""),"Enter audited totals",IF(AND(ABS(G53)&lt;0.01,ABS(G57)&lt;0.01),"Reconciled","Check differences"))</f>
        <v>Enter audited totals</v>
      </c>
    </row>
    <row r="60" customFormat="false" ht="30" hidden="false" customHeight="true" outlineLevel="0" collapsed="false">
      <c r="B60" s="6" t="s">
        <v>424</v>
      </c>
      <c r="C60" s="6"/>
      <c r="D60" s="6"/>
      <c r="E60" s="6"/>
      <c r="F60" s="6"/>
      <c r="G60" s="6"/>
      <c r="H60" s="6"/>
      <c r="I60" s="6"/>
    </row>
    <row r="85" customFormat="false" ht="68.25" hidden="false" customHeight="true" outlineLevel="0" collapsed="false">
      <c r="B85" s="19" t="s">
        <v>425</v>
      </c>
      <c r="C85" s="19"/>
      <c r="D85" s="19"/>
      <c r="E85" s="19"/>
      <c r="F85" s="19"/>
      <c r="G85" s="19"/>
      <c r="H85" s="19"/>
      <c r="I85" s="19"/>
    </row>
  </sheetData>
  <mergeCells count="10">
    <mergeCell ref="B2:I2"/>
    <mergeCell ref="B3:I3"/>
    <mergeCell ref="B5:I5"/>
    <mergeCell ref="B10:I10"/>
    <mergeCell ref="B21:I21"/>
    <mergeCell ref="B44:I44"/>
    <mergeCell ref="B47:I47"/>
    <mergeCell ref="B49:I49"/>
    <mergeCell ref="B60:I60"/>
    <mergeCell ref="B85:I85"/>
  </mergeCells>
  <conditionalFormatting sqref="D58:G58">
    <cfRule type="cellIs" priority="2" operator="equal" aboveAverage="0" equalAverage="0" bottom="0" percent="0" rank="0" text="" dxfId="0">
      <formula>"Reconciled"</formula>
    </cfRule>
    <cfRule type="cellIs" priority="3" operator="equal" aboveAverage="0" equalAverage="0" bottom="0" percent="0" rank="0" text="" dxfId="1">
      <formula>"Check differences"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7"/>
    <col collapsed="false" customWidth="true" hidden="false" outlineLevel="0" max="9" min="8" style="0" width="22"/>
  </cols>
  <sheetData>
    <row r="2" customFormat="false" ht="39" hidden="false" customHeight="true" outlineLevel="0" collapsed="false">
      <c r="B2" s="46" t="s">
        <v>426</v>
      </c>
      <c r="C2" s="46"/>
      <c r="D2" s="46"/>
      <c r="E2" s="46"/>
      <c r="F2" s="46"/>
      <c r="G2" s="46"/>
      <c r="H2" s="46"/>
      <c r="I2" s="46"/>
    </row>
    <row r="3" customFormat="false" ht="48" hidden="false" customHeight="true" outlineLevel="0" collapsed="false">
      <c r="B3" s="47" t="s">
        <v>427</v>
      </c>
      <c r="C3" s="47"/>
      <c r="D3" s="47"/>
      <c r="E3" s="47"/>
      <c r="F3" s="47"/>
      <c r="G3" s="47"/>
      <c r="H3" s="47"/>
      <c r="I3" s="47"/>
    </row>
    <row r="5" customFormat="false" ht="30" hidden="false" customHeight="true" outlineLevel="0" collapsed="false">
      <c r="B5" s="6" t="s">
        <v>428</v>
      </c>
      <c r="C5" s="6"/>
      <c r="D5" s="6"/>
      <c r="E5" s="6"/>
      <c r="F5" s="6"/>
      <c r="G5" s="6"/>
      <c r="H5" s="6"/>
      <c r="I5" s="6"/>
    </row>
    <row r="6" customFormat="false" ht="57.75" hidden="false" customHeight="true" outlineLevel="0" collapsed="false">
      <c r="B6" s="8" t="s">
        <v>101</v>
      </c>
      <c r="C6" s="8" t="s">
        <v>102</v>
      </c>
      <c r="D6" s="8" t="s">
        <v>252</v>
      </c>
      <c r="E6" s="8" t="s">
        <v>253</v>
      </c>
      <c r="F6" s="8" t="s">
        <v>254</v>
      </c>
      <c r="G6" s="8" t="s">
        <v>255</v>
      </c>
      <c r="H6" s="8" t="s">
        <v>405</v>
      </c>
      <c r="I6" s="8" t="s">
        <v>406</v>
      </c>
    </row>
    <row r="7" customFormat="false" ht="27.75" hidden="false" customHeight="true" outlineLevel="0" collapsed="false">
      <c r="B7" s="23" t="s">
        <v>105</v>
      </c>
      <c r="C7" s="42" t="s">
        <v>106</v>
      </c>
      <c r="D7" s="48" t="n">
        <v>9500</v>
      </c>
      <c r="E7" s="48" t="n">
        <v>8800</v>
      </c>
      <c r="F7" s="48" t="n">
        <v>7600</v>
      </c>
      <c r="G7" s="48" t="n">
        <v>6800</v>
      </c>
      <c r="H7" s="25" t="n">
        <f aca="false">SUM(D7:F7)</f>
        <v>25900</v>
      </c>
      <c r="I7" s="25" t="n">
        <f aca="false">SUM(D7:G7)</f>
        <v>32700</v>
      </c>
    </row>
    <row r="8" customFormat="false" ht="27.75" hidden="false" customHeight="true" outlineLevel="0" collapsed="false">
      <c r="B8" s="23" t="s">
        <v>109</v>
      </c>
      <c r="C8" s="42" t="s">
        <v>110</v>
      </c>
      <c r="D8" s="48" t="n">
        <v>250</v>
      </c>
      <c r="E8" s="48" t="n">
        <v>200</v>
      </c>
      <c r="F8" s="48" t="n">
        <v>150</v>
      </c>
      <c r="G8" s="48" t="n">
        <v>120</v>
      </c>
      <c r="H8" s="25" t="n">
        <f aca="false">SUM(D8:F8)</f>
        <v>600</v>
      </c>
      <c r="I8" s="25" t="n">
        <f aca="false">SUM(D8:G8)</f>
        <v>720</v>
      </c>
    </row>
    <row r="9" customFormat="false" ht="27.75" hidden="false" customHeight="true" outlineLevel="0" collapsed="false">
      <c r="B9" s="23" t="s">
        <v>113</v>
      </c>
      <c r="C9" s="42" t="s">
        <v>114</v>
      </c>
      <c r="D9" s="48" t="n">
        <v>0</v>
      </c>
      <c r="E9" s="48" t="n">
        <v>0</v>
      </c>
      <c r="F9" s="48" t="n">
        <v>0</v>
      </c>
      <c r="G9" s="48" t="n">
        <v>0</v>
      </c>
      <c r="H9" s="25" t="n">
        <f aca="false">SUM(D9:F9)</f>
        <v>0</v>
      </c>
      <c r="I9" s="25" t="n">
        <f aca="false">SUM(D9:G9)</f>
        <v>0</v>
      </c>
    </row>
    <row r="10" customFormat="false" ht="27.75" hidden="false" customHeight="true" outlineLevel="0" collapsed="false">
      <c r="B10" s="23" t="s">
        <v>117</v>
      </c>
      <c r="C10" s="42" t="s">
        <v>118</v>
      </c>
      <c r="D10" s="48" t="n">
        <v>20</v>
      </c>
      <c r="E10" s="48" t="n">
        <v>15</v>
      </c>
      <c r="F10" s="48" t="n">
        <v>10</v>
      </c>
      <c r="G10" s="48" t="n">
        <v>10</v>
      </c>
      <c r="H10" s="25" t="n">
        <f aca="false">SUM(D10:F10)</f>
        <v>45</v>
      </c>
      <c r="I10" s="25" t="n">
        <f aca="false">SUM(D10:G10)</f>
        <v>55</v>
      </c>
    </row>
    <row r="11" customFormat="false" ht="27.75" hidden="false" customHeight="true" outlineLevel="0" collapsed="false">
      <c r="B11" s="23" t="s">
        <v>121</v>
      </c>
      <c r="C11" s="42" t="s">
        <v>122</v>
      </c>
      <c r="D11" s="48" t="n">
        <v>80</v>
      </c>
      <c r="E11" s="48" t="n">
        <v>60</v>
      </c>
      <c r="F11" s="48" t="n">
        <v>50</v>
      </c>
      <c r="G11" s="48" t="n">
        <v>40</v>
      </c>
      <c r="H11" s="25" t="n">
        <f aca="false">SUM(D11:F11)</f>
        <v>190</v>
      </c>
      <c r="I11" s="25" t="n">
        <f aca="false">SUM(D11:G11)</f>
        <v>230</v>
      </c>
    </row>
    <row r="12" customFormat="false" ht="27.75" hidden="false" customHeight="true" outlineLevel="0" collapsed="false">
      <c r="B12" s="23" t="s">
        <v>125</v>
      </c>
      <c r="C12" s="42" t="s">
        <v>126</v>
      </c>
      <c r="D12" s="48" t="n">
        <v>30</v>
      </c>
      <c r="E12" s="48" t="n">
        <v>25</v>
      </c>
      <c r="F12" s="48" t="n">
        <v>20</v>
      </c>
      <c r="G12" s="48" t="n">
        <v>20</v>
      </c>
      <c r="H12" s="25" t="n">
        <f aca="false">SUM(D12:F12)</f>
        <v>75</v>
      </c>
      <c r="I12" s="25" t="n">
        <f aca="false">SUM(D12:G12)</f>
        <v>95</v>
      </c>
    </row>
    <row r="13" customFormat="false" ht="27.75" hidden="false" customHeight="true" outlineLevel="0" collapsed="false">
      <c r="B13" s="23" t="s">
        <v>129</v>
      </c>
      <c r="C13" s="42" t="s">
        <v>130</v>
      </c>
      <c r="D13" s="48" t="n">
        <v>600</v>
      </c>
      <c r="E13" s="48" t="n">
        <v>550</v>
      </c>
      <c r="F13" s="48" t="n">
        <v>500</v>
      </c>
      <c r="G13" s="48" t="n">
        <v>450</v>
      </c>
      <c r="H13" s="25" t="n">
        <f aca="false">SUM(D13:F13)</f>
        <v>1650</v>
      </c>
      <c r="I13" s="25" t="n">
        <f aca="false">SUM(D13:G13)</f>
        <v>2100</v>
      </c>
    </row>
    <row r="14" customFormat="false" ht="27.75" hidden="false" customHeight="true" outlineLevel="0" collapsed="false">
      <c r="B14" s="23" t="s">
        <v>133</v>
      </c>
      <c r="C14" s="42" t="s">
        <v>134</v>
      </c>
      <c r="D14" s="48" t="n">
        <v>220</v>
      </c>
      <c r="E14" s="48" t="n">
        <v>180</v>
      </c>
      <c r="F14" s="48" t="n">
        <v>150</v>
      </c>
      <c r="G14" s="48" t="n">
        <v>120</v>
      </c>
      <c r="H14" s="25" t="n">
        <f aca="false">SUM(D14:F14)</f>
        <v>550</v>
      </c>
      <c r="I14" s="25" t="n">
        <f aca="false">SUM(D14:G14)</f>
        <v>670</v>
      </c>
    </row>
    <row r="15" customFormat="false" ht="30" hidden="false" customHeight="true" outlineLevel="0" collapsed="false">
      <c r="B15" s="33"/>
      <c r="C15" s="49" t="s">
        <v>173</v>
      </c>
      <c r="D15" s="50" t="n">
        <f aca="false">SUM(D7:D14)</f>
        <v>10700</v>
      </c>
      <c r="E15" s="50" t="n">
        <f aca="false">SUM(E7:E14)</f>
        <v>9830</v>
      </c>
      <c r="F15" s="50" t="n">
        <f aca="false">SUM(F7:F14)</f>
        <v>8480</v>
      </c>
      <c r="G15" s="50" t="n">
        <f aca="false">SUM(G7:G14)</f>
        <v>7560</v>
      </c>
      <c r="H15" s="50" t="n">
        <f aca="false">SUM(H7:H14)</f>
        <v>29010</v>
      </c>
      <c r="I15" s="50" t="n">
        <f aca="false">SUM(I7:I14)</f>
        <v>36570</v>
      </c>
    </row>
    <row r="17" customFormat="false" ht="30" hidden="false" customHeight="true" outlineLevel="0" collapsed="false">
      <c r="B17" s="6" t="s">
        <v>429</v>
      </c>
      <c r="C17" s="6"/>
      <c r="D17" s="6"/>
      <c r="E17" s="6"/>
      <c r="F17" s="6"/>
      <c r="G17" s="6"/>
      <c r="H17" s="6"/>
      <c r="I17" s="6"/>
    </row>
    <row r="18" customFormat="false" ht="57.75" hidden="false" customHeight="true" outlineLevel="0" collapsed="false">
      <c r="B18" s="8" t="s">
        <v>101</v>
      </c>
      <c r="C18" s="8" t="s">
        <v>102</v>
      </c>
      <c r="D18" s="8" t="s">
        <v>252</v>
      </c>
      <c r="E18" s="8" t="s">
        <v>253</v>
      </c>
      <c r="F18" s="8" t="s">
        <v>254</v>
      </c>
      <c r="G18" s="8" t="s">
        <v>255</v>
      </c>
      <c r="H18" s="8" t="s">
        <v>405</v>
      </c>
      <c r="I18" s="8" t="s">
        <v>406</v>
      </c>
    </row>
    <row r="19" customFormat="false" ht="27.75" hidden="false" customHeight="true" outlineLevel="0" collapsed="false">
      <c r="B19" s="23" t="s">
        <v>65</v>
      </c>
      <c r="C19" s="42" t="s">
        <v>138</v>
      </c>
      <c r="D19" s="48" t="n">
        <v>5200</v>
      </c>
      <c r="E19" s="48" t="n">
        <v>4800</v>
      </c>
      <c r="F19" s="48" t="n">
        <v>4400</v>
      </c>
      <c r="G19" s="48" t="n">
        <v>4000</v>
      </c>
      <c r="H19" s="25" t="n">
        <f aca="false">SUM(D19:F19)</f>
        <v>14400</v>
      </c>
      <c r="I19" s="25" t="n">
        <f aca="false">SUM(D19:G19)</f>
        <v>18400</v>
      </c>
    </row>
    <row r="20" customFormat="false" ht="27.75" hidden="false" customHeight="true" outlineLevel="0" collapsed="false">
      <c r="B20" s="23" t="s">
        <v>69</v>
      </c>
      <c r="C20" s="42" t="s">
        <v>141</v>
      </c>
      <c r="D20" s="48" t="n">
        <v>700</v>
      </c>
      <c r="E20" s="48" t="n">
        <v>650</v>
      </c>
      <c r="F20" s="48" t="n">
        <v>600</v>
      </c>
      <c r="G20" s="48" t="n">
        <v>550</v>
      </c>
      <c r="H20" s="25" t="n">
        <f aca="false">SUM(D20:F20)</f>
        <v>1950</v>
      </c>
      <c r="I20" s="25" t="n">
        <f aca="false">SUM(D20:G20)</f>
        <v>2500</v>
      </c>
    </row>
    <row r="21" customFormat="false" ht="27.75" hidden="false" customHeight="true" outlineLevel="0" collapsed="false">
      <c r="B21" s="23" t="s">
        <v>73</v>
      </c>
      <c r="C21" s="42" t="s">
        <v>144</v>
      </c>
      <c r="D21" s="48" t="n">
        <v>650</v>
      </c>
      <c r="E21" s="48" t="n">
        <v>600</v>
      </c>
      <c r="F21" s="48" t="n">
        <v>560</v>
      </c>
      <c r="G21" s="48" t="n">
        <v>520</v>
      </c>
      <c r="H21" s="25" t="n">
        <f aca="false">SUM(D21:F21)</f>
        <v>1810</v>
      </c>
      <c r="I21" s="25" t="n">
        <f aca="false">SUM(D21:G21)</f>
        <v>2330</v>
      </c>
    </row>
    <row r="22" customFormat="false" ht="27.75" hidden="false" customHeight="true" outlineLevel="0" collapsed="false">
      <c r="B22" s="23" t="s">
        <v>76</v>
      </c>
      <c r="C22" s="42" t="s">
        <v>147</v>
      </c>
      <c r="D22" s="48" t="n">
        <v>500</v>
      </c>
      <c r="E22" s="48" t="n">
        <v>450</v>
      </c>
      <c r="F22" s="48" t="n">
        <v>400</v>
      </c>
      <c r="G22" s="48" t="n">
        <v>380</v>
      </c>
      <c r="H22" s="25" t="n">
        <f aca="false">SUM(D22:F22)</f>
        <v>1350</v>
      </c>
      <c r="I22" s="25" t="n">
        <f aca="false">SUM(D22:G22)</f>
        <v>1730</v>
      </c>
    </row>
    <row r="23" customFormat="false" ht="27.75" hidden="false" customHeight="true" outlineLevel="0" collapsed="false">
      <c r="B23" s="23" t="s">
        <v>79</v>
      </c>
      <c r="C23" s="42" t="s">
        <v>150</v>
      </c>
      <c r="D23" s="48" t="n">
        <v>300</v>
      </c>
      <c r="E23" s="48" t="n">
        <v>280</v>
      </c>
      <c r="F23" s="48" t="n">
        <v>260</v>
      </c>
      <c r="G23" s="48" t="n">
        <v>240</v>
      </c>
      <c r="H23" s="25" t="n">
        <f aca="false">SUM(D23:F23)</f>
        <v>840</v>
      </c>
      <c r="I23" s="25" t="n">
        <f aca="false">SUM(D23:G23)</f>
        <v>1080</v>
      </c>
    </row>
    <row r="24" customFormat="false" ht="27.75" hidden="false" customHeight="true" outlineLevel="0" collapsed="false">
      <c r="B24" s="23" t="s">
        <v>82</v>
      </c>
      <c r="C24" s="42" t="s">
        <v>153</v>
      </c>
      <c r="D24" s="48" t="n">
        <v>250</v>
      </c>
      <c r="E24" s="48" t="n">
        <v>230</v>
      </c>
      <c r="F24" s="48" t="n">
        <v>210</v>
      </c>
      <c r="G24" s="48" t="n">
        <v>200</v>
      </c>
      <c r="H24" s="25" t="n">
        <f aca="false">SUM(D24:F24)</f>
        <v>690</v>
      </c>
      <c r="I24" s="25" t="n">
        <f aca="false">SUM(D24:G24)</f>
        <v>890</v>
      </c>
    </row>
    <row r="25" customFormat="false" ht="27.75" hidden="false" customHeight="true" outlineLevel="0" collapsed="false">
      <c r="B25" s="23" t="s">
        <v>85</v>
      </c>
      <c r="C25" s="42" t="s">
        <v>156</v>
      </c>
      <c r="D25" s="48" t="n">
        <v>120</v>
      </c>
      <c r="E25" s="48" t="n">
        <v>100</v>
      </c>
      <c r="F25" s="48" t="n">
        <v>90</v>
      </c>
      <c r="G25" s="48" t="n">
        <v>80</v>
      </c>
      <c r="H25" s="25" t="n">
        <f aca="false">SUM(D25:F25)</f>
        <v>310</v>
      </c>
      <c r="I25" s="25" t="n">
        <f aca="false">SUM(D25:G25)</f>
        <v>390</v>
      </c>
    </row>
    <row r="26" customFormat="false" ht="27.75" hidden="false" customHeight="true" outlineLevel="0" collapsed="false">
      <c r="B26" s="23" t="s">
        <v>88</v>
      </c>
      <c r="C26" s="42" t="s">
        <v>159</v>
      </c>
      <c r="D26" s="48" t="n">
        <v>600</v>
      </c>
      <c r="E26" s="48" t="n">
        <v>550</v>
      </c>
      <c r="F26" s="48" t="n">
        <v>500</v>
      </c>
      <c r="G26" s="48" t="n">
        <v>450</v>
      </c>
      <c r="H26" s="25" t="n">
        <f aca="false">SUM(D26:F26)</f>
        <v>1650</v>
      </c>
      <c r="I26" s="25" t="n">
        <f aca="false">SUM(D26:G26)</f>
        <v>2100</v>
      </c>
    </row>
    <row r="27" customFormat="false" ht="27.75" hidden="false" customHeight="true" outlineLevel="0" collapsed="false">
      <c r="B27" s="23" t="s">
        <v>92</v>
      </c>
      <c r="C27" s="42" t="s">
        <v>162</v>
      </c>
      <c r="D27" s="48" t="n">
        <v>180</v>
      </c>
      <c r="E27" s="48" t="n">
        <v>160</v>
      </c>
      <c r="F27" s="48" t="n">
        <v>140</v>
      </c>
      <c r="G27" s="48" t="n">
        <v>120</v>
      </c>
      <c r="H27" s="25" t="n">
        <f aca="false">SUM(D27:F27)</f>
        <v>480</v>
      </c>
      <c r="I27" s="25" t="n">
        <f aca="false">SUM(D27:G27)</f>
        <v>600</v>
      </c>
    </row>
    <row r="28" customFormat="false" ht="27.75" hidden="false" customHeight="true" outlineLevel="0" collapsed="false">
      <c r="B28" s="23" t="s">
        <v>96</v>
      </c>
      <c r="C28" s="42" t="s">
        <v>165</v>
      </c>
      <c r="D28" s="48" t="n">
        <v>200</v>
      </c>
      <c r="E28" s="48" t="n">
        <v>180</v>
      </c>
      <c r="F28" s="48" t="n">
        <v>170</v>
      </c>
      <c r="G28" s="48" t="n">
        <v>150</v>
      </c>
      <c r="H28" s="25" t="n">
        <f aca="false">SUM(D28:F28)</f>
        <v>550</v>
      </c>
      <c r="I28" s="25" t="n">
        <f aca="false">SUM(D28:G28)</f>
        <v>700</v>
      </c>
    </row>
    <row r="29" customFormat="false" ht="30" hidden="false" customHeight="true" outlineLevel="0" collapsed="false">
      <c r="B29" s="33"/>
      <c r="C29" s="49" t="s">
        <v>176</v>
      </c>
      <c r="D29" s="50" t="n">
        <f aca="false">SUM(D19:D28)</f>
        <v>8700</v>
      </c>
      <c r="E29" s="50" t="n">
        <f aca="false">SUM(E19:E28)</f>
        <v>8000</v>
      </c>
      <c r="F29" s="50" t="n">
        <f aca="false">SUM(F19:F28)</f>
        <v>7330</v>
      </c>
      <c r="G29" s="50" t="n">
        <f aca="false">SUM(G19:G28)</f>
        <v>6690</v>
      </c>
      <c r="H29" s="50" t="n">
        <f aca="false">SUM(H19:H28)</f>
        <v>24030</v>
      </c>
      <c r="I29" s="50" t="n">
        <f aca="false">SUM(I19:I28)</f>
        <v>30720</v>
      </c>
    </row>
    <row r="31" customFormat="false" ht="30" hidden="false" customHeight="true" outlineLevel="0" collapsed="false">
      <c r="B31" s="6" t="s">
        <v>430</v>
      </c>
      <c r="C31" s="6"/>
      <c r="D31" s="6"/>
      <c r="E31" s="6"/>
      <c r="F31" s="6"/>
      <c r="G31" s="6"/>
      <c r="H31" s="6"/>
      <c r="I31" s="6"/>
    </row>
    <row r="32" customFormat="false" ht="57.75" hidden="false" customHeight="true" outlineLevel="0" collapsed="false">
      <c r="B32" s="8" t="s">
        <v>169</v>
      </c>
      <c r="C32" s="8" t="s">
        <v>170</v>
      </c>
      <c r="D32" s="8" t="s">
        <v>252</v>
      </c>
      <c r="E32" s="8" t="s">
        <v>253</v>
      </c>
      <c r="F32" s="8" t="s">
        <v>254</v>
      </c>
      <c r="G32" s="8" t="s">
        <v>255</v>
      </c>
      <c r="H32" s="8" t="s">
        <v>405</v>
      </c>
      <c r="I32" s="8" t="s">
        <v>406</v>
      </c>
    </row>
    <row r="33" customFormat="false" ht="30" hidden="false" customHeight="true" outlineLevel="0" collapsed="false">
      <c r="B33" s="35" t="s">
        <v>431</v>
      </c>
      <c r="C33" s="36" t="s">
        <v>432</v>
      </c>
      <c r="D33" s="38" t="n">
        <f aca="false">IF(D29=0,"-",D15/D29)</f>
        <v>1.22988505747126</v>
      </c>
      <c r="E33" s="38" t="n">
        <f aca="false">IF(E29=0,"-",E15/E29)</f>
        <v>1.22875</v>
      </c>
      <c r="F33" s="38" t="n">
        <f aca="false">IF(F29=0,"-",F15/F29)</f>
        <v>1.1568894952251</v>
      </c>
      <c r="G33" s="38" t="n">
        <f aca="false">IF(G29=0,"-",G15/G29)</f>
        <v>1.13004484304933</v>
      </c>
      <c r="H33" s="38" t="n">
        <f aca="false">IF(H29=0,"-",H15/H29)</f>
        <v>1.20724094881398</v>
      </c>
      <c r="I33" s="38" t="n">
        <f aca="false">IF(I29=0,"-",I15/I29)</f>
        <v>1.1904296875</v>
      </c>
    </row>
    <row r="34" customFormat="false" ht="30" hidden="false" customHeight="true" outlineLevel="0" collapsed="false">
      <c r="B34" s="35" t="s">
        <v>433</v>
      </c>
      <c r="C34" s="9" t="s">
        <v>434</v>
      </c>
      <c r="D34" s="39" t="n">
        <f aca="false">D15-D29</f>
        <v>2000</v>
      </c>
      <c r="E34" s="39" t="n">
        <f aca="false">E15-E29</f>
        <v>1830</v>
      </c>
      <c r="F34" s="39" t="n">
        <f aca="false">F15-F29</f>
        <v>1150</v>
      </c>
      <c r="G34" s="39" t="n">
        <f aca="false">G15-G29</f>
        <v>870</v>
      </c>
      <c r="H34" s="39" t="n">
        <f aca="false">H15-H29</f>
        <v>4980</v>
      </c>
      <c r="I34" s="39" t="n">
        <f aca="false">I15-I29</f>
        <v>5850</v>
      </c>
    </row>
    <row r="35" customFormat="false" ht="30" hidden="false" customHeight="true" outlineLevel="0" collapsed="false">
      <c r="B35" s="35" t="s">
        <v>435</v>
      </c>
      <c r="C35" s="9" t="s">
        <v>185</v>
      </c>
      <c r="D35" s="40" t="n">
        <f aca="false">IF(D15=0,"-",D34/D15)</f>
        <v>0.186915887850467</v>
      </c>
      <c r="E35" s="40" t="n">
        <f aca="false">IF(E15=0,"-",E34/E15)</f>
        <v>0.18616480162767</v>
      </c>
      <c r="F35" s="40" t="n">
        <f aca="false">IF(F15=0,"-",F34/F15)</f>
        <v>0.13561320754717</v>
      </c>
      <c r="G35" s="40" t="n">
        <f aca="false">IF(G15=0,"-",G34/G15)</f>
        <v>0.115079365079365</v>
      </c>
      <c r="H35" s="40" t="n">
        <f aca="false">IF(H15=0,"-",H34/H15)</f>
        <v>0.171664943123061</v>
      </c>
      <c r="I35" s="40" t="n">
        <f aca="false">IF(I15=0,"-",I34/I15)</f>
        <v>0.159967186218212</v>
      </c>
    </row>
    <row r="36" customFormat="false" ht="30" hidden="false" customHeight="true" outlineLevel="0" collapsed="false">
      <c r="B36" s="35" t="s">
        <v>436</v>
      </c>
      <c r="C36" s="9" t="s">
        <v>188</v>
      </c>
      <c r="D36" s="40" t="n">
        <f aca="false">IF(D15=0,"-",D7/D15)</f>
        <v>0.88785046728972</v>
      </c>
      <c r="E36" s="40" t="n">
        <f aca="false">IF(E15=0,"-",E7/E15)</f>
        <v>0.895218718209563</v>
      </c>
      <c r="F36" s="40" t="n">
        <f aca="false">IF(F15=0,"-",F7/F15)</f>
        <v>0.89622641509434</v>
      </c>
      <c r="G36" s="40" t="n">
        <f aca="false">IF(G15=0,"-",G7/G15)</f>
        <v>0.899470899470899</v>
      </c>
      <c r="H36" s="40" t="n">
        <f aca="false">IF(H15=0,"-",H7/H15)</f>
        <v>0.89279558772837</v>
      </c>
      <c r="I36" s="40" t="n">
        <f aca="false">IF(I15=0,"-",I7/I15)</f>
        <v>0.894175553732568</v>
      </c>
    </row>
    <row r="37" customFormat="false" ht="30" hidden="false" customHeight="true" outlineLevel="0" collapsed="false">
      <c r="B37" s="35" t="s">
        <v>437</v>
      </c>
      <c r="C37" s="9" t="s">
        <v>191</v>
      </c>
      <c r="D37" s="40" t="n">
        <f aca="false">IF(D29=0,"-",(D19+D26)/D29)</f>
        <v>0.666666666666667</v>
      </c>
      <c r="E37" s="40" t="n">
        <f aca="false">IF(E29=0,"-",(E19+E26)/E29)</f>
        <v>0.66875</v>
      </c>
      <c r="F37" s="40" t="n">
        <f aca="false">IF(F29=0,"-",(F19+F26)/F29)</f>
        <v>0.668485675306958</v>
      </c>
      <c r="G37" s="40" t="n">
        <f aca="false">IF(G29=0,"-",(G19+G26)/G29)</f>
        <v>0.665171898355755</v>
      </c>
      <c r="H37" s="40" t="n">
        <f aca="false">IF(H29=0,"-",(H19+H26)/H29)</f>
        <v>0.667915106117353</v>
      </c>
      <c r="I37" s="40" t="n">
        <f aca="false">IF(I29=0,"-",(I19+I26)/I29)</f>
        <v>0.667317708333333</v>
      </c>
    </row>
    <row r="38" customFormat="false" ht="60" hidden="false" customHeight="true" outlineLevel="0" collapsed="false">
      <c r="B38" s="35" t="s">
        <v>438</v>
      </c>
      <c r="C38" s="42" t="s">
        <v>439</v>
      </c>
      <c r="D38" s="41" t="str">
        <f aca="false">IF(D15=0,"-",IF(D33&lt;0.95,"Band I – Deficit",IF(D33&lt;1,"Band II – Marginal",IF(D33&lt;=1.25,"Band III – Healthy","Band IV – High surplus"))))</f>
        <v>Band III – Healthy</v>
      </c>
      <c r="E38" s="41" t="str">
        <f aca="false">IF(E15=0,"-",IF(E33&lt;0.95,"Band I – Deficit",IF(E33&lt;1,"Band II – Marginal",IF(E33&lt;=1.25,"Band III – Healthy","Band IV – High surplus"))))</f>
        <v>Band III – Healthy</v>
      </c>
      <c r="F38" s="41" t="str">
        <f aca="false">IF(F15=0,"-",IF(F33&lt;0.95,"Band I – Deficit",IF(F33&lt;1,"Band II – Marginal",IF(F33&lt;=1.25,"Band III – Healthy","Band IV – High surplus"))))</f>
        <v>Band III – Healthy</v>
      </c>
      <c r="G38" s="41" t="str">
        <f aca="false">IF(G15=0,"-",IF(G33&lt;0.95,"Band I – Deficit",IF(G33&lt;1,"Band II – Marginal",IF(G33&lt;=1.25,"Band III – Healthy","Band IV – High surplus"))))</f>
        <v>Band III – Healthy</v>
      </c>
      <c r="H38" s="41" t="str">
        <f aca="false">IF(H15=0,"-",IF(H33&lt;0.95,"Band I – Deficit",IF(H33&lt;1,"Band II – Marginal",IF(H33&lt;=1.25,"Band III – Healthy","Band IV – High surplus"))))</f>
        <v>Band III – Healthy</v>
      </c>
      <c r="I38" s="41" t="str">
        <f aca="false">IF(I15=0,"-",IF(I33&lt;0.95,"Band I – Deficit",IF(I33&lt;1,"Band II – Marginal",IF(I33&lt;=1.25,"Band III – Healthy","Band IV – High surplus"))))</f>
        <v>Band III – Healthy</v>
      </c>
    </row>
    <row r="40" customFormat="false" ht="30" hidden="false" customHeight="true" outlineLevel="0" collapsed="false">
      <c r="B40" s="6" t="s">
        <v>440</v>
      </c>
      <c r="C40" s="6"/>
      <c r="D40" s="6"/>
      <c r="E40" s="6"/>
      <c r="F40" s="6"/>
      <c r="G40" s="6"/>
      <c r="H40" s="6"/>
      <c r="I40" s="6"/>
    </row>
    <row r="41" customFormat="false" ht="210.75" hidden="false" customHeight="true" outlineLevel="0" collapsed="false">
      <c r="B41" s="7" t="s">
        <v>441</v>
      </c>
      <c r="C41" s="7"/>
      <c r="D41" s="7"/>
      <c r="E41" s="7"/>
      <c r="F41" s="7"/>
      <c r="G41" s="7"/>
      <c r="H41" s="7"/>
      <c r="I41" s="7"/>
    </row>
  </sheetData>
  <mergeCells count="7">
    <mergeCell ref="B2:I2"/>
    <mergeCell ref="B3:I3"/>
    <mergeCell ref="B5:I5"/>
    <mergeCell ref="B17:I17"/>
    <mergeCell ref="B31:I31"/>
    <mergeCell ref="B40:I40"/>
    <mergeCell ref="B41:I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48"/>
    <col collapsed="false" customWidth="true" hidden="false" outlineLevel="0" max="4" min="4" style="0" width="40"/>
    <col collapsed="false" customWidth="true" hidden="false" outlineLevel="0" max="8" min="5" style="0" width="15"/>
    <col collapsed="false" customWidth="true" hidden="false" outlineLevel="0" max="9" min="9" style="0" width="24"/>
    <col collapsed="false" customWidth="true" hidden="false" outlineLevel="0" max="10" min="10" style="0" width="30"/>
  </cols>
  <sheetData>
    <row r="2" customFormat="false" ht="43.5" hidden="false" customHeight="true" outlineLevel="0" collapsed="false">
      <c r="B2" s="18" t="s">
        <v>442</v>
      </c>
      <c r="C2" s="18"/>
      <c r="D2" s="18"/>
      <c r="E2" s="18"/>
      <c r="F2" s="18"/>
      <c r="G2" s="18"/>
      <c r="H2" s="18"/>
      <c r="I2" s="18"/>
      <c r="J2" s="18"/>
    </row>
    <row r="3" customFormat="false" ht="48" hidden="false" customHeight="true" outlineLevel="0" collapsed="false">
      <c r="B3" s="19" t="s">
        <v>443</v>
      </c>
      <c r="C3" s="19"/>
      <c r="D3" s="19"/>
      <c r="E3" s="19"/>
      <c r="F3" s="19"/>
      <c r="G3" s="19"/>
      <c r="H3" s="19"/>
      <c r="I3" s="19"/>
      <c r="J3" s="19"/>
    </row>
    <row r="5" customFormat="false" ht="57.75" hidden="false" customHeight="true" outlineLevel="0" collapsed="false">
      <c r="B5" s="8" t="s">
        <v>169</v>
      </c>
      <c r="C5" s="8" t="s">
        <v>444</v>
      </c>
      <c r="D5" s="8" t="s">
        <v>445</v>
      </c>
      <c r="E5" s="8" t="s">
        <v>252</v>
      </c>
      <c r="F5" s="8" t="s">
        <v>253</v>
      </c>
      <c r="G5" s="8" t="s">
        <v>254</v>
      </c>
      <c r="H5" s="8" t="s">
        <v>255</v>
      </c>
      <c r="I5" s="8" t="s">
        <v>446</v>
      </c>
      <c r="J5" s="8" t="s">
        <v>447</v>
      </c>
    </row>
    <row r="6" customFormat="false" ht="68.25" hidden="false" customHeight="true" outlineLevel="0" collapsed="false">
      <c r="B6" s="23" t="n">
        <v>1</v>
      </c>
      <c r="C6" s="9" t="s">
        <v>448</v>
      </c>
      <c r="D6" s="9" t="s">
        <v>449</v>
      </c>
      <c r="E6" s="51" t="s">
        <v>450</v>
      </c>
      <c r="F6" s="51" t="s">
        <v>450</v>
      </c>
      <c r="G6" s="51" t="s">
        <v>450</v>
      </c>
      <c r="H6" s="51" t="s">
        <v>450</v>
      </c>
      <c r="I6" s="9" t="s">
        <v>451</v>
      </c>
      <c r="J6" s="26"/>
    </row>
    <row r="7" customFormat="false" ht="68.25" hidden="false" customHeight="true" outlineLevel="0" collapsed="false">
      <c r="B7" s="23" t="n">
        <v>2</v>
      </c>
      <c r="C7" s="9" t="s">
        <v>452</v>
      </c>
      <c r="D7" s="9" t="s">
        <v>453</v>
      </c>
      <c r="E7" s="51" t="s">
        <v>450</v>
      </c>
      <c r="F7" s="51" t="s">
        <v>450</v>
      </c>
      <c r="G7" s="51" t="s">
        <v>450</v>
      </c>
      <c r="H7" s="51" t="s">
        <v>450</v>
      </c>
      <c r="I7" s="9" t="s">
        <v>44</v>
      </c>
      <c r="J7" s="26"/>
    </row>
    <row r="8" customFormat="false" ht="48" hidden="false" customHeight="true" outlineLevel="0" collapsed="false">
      <c r="B8" s="23" t="n">
        <v>3</v>
      </c>
      <c r="C8" s="9" t="s">
        <v>454</v>
      </c>
      <c r="D8" s="9" t="s">
        <v>455</v>
      </c>
      <c r="E8" s="51" t="s">
        <v>450</v>
      </c>
      <c r="F8" s="51" t="s">
        <v>450</v>
      </c>
      <c r="G8" s="51" t="s">
        <v>450</v>
      </c>
      <c r="H8" s="51" t="s">
        <v>450</v>
      </c>
      <c r="I8" s="9" t="s">
        <v>26</v>
      </c>
      <c r="J8" s="26"/>
    </row>
    <row r="9" customFormat="false" ht="48" hidden="false" customHeight="true" outlineLevel="0" collapsed="false">
      <c r="B9" s="23" t="n">
        <v>4</v>
      </c>
      <c r="C9" s="9" t="s">
        <v>456</v>
      </c>
      <c r="D9" s="9" t="s">
        <v>457</v>
      </c>
      <c r="E9" s="51" t="s">
        <v>450</v>
      </c>
      <c r="F9" s="51" t="s">
        <v>450</v>
      </c>
      <c r="G9" s="51" t="s">
        <v>450</v>
      </c>
      <c r="H9" s="51" t="s">
        <v>450</v>
      </c>
      <c r="I9" s="9" t="s">
        <v>26</v>
      </c>
      <c r="J9" s="26"/>
    </row>
    <row r="10" customFormat="false" ht="48" hidden="false" customHeight="true" outlineLevel="0" collapsed="false">
      <c r="B10" s="23" t="n">
        <v>5</v>
      </c>
      <c r="C10" s="9" t="s">
        <v>458</v>
      </c>
      <c r="D10" s="9" t="s">
        <v>459</v>
      </c>
      <c r="E10" s="51" t="s">
        <v>450</v>
      </c>
      <c r="F10" s="51" t="s">
        <v>450</v>
      </c>
      <c r="G10" s="51" t="s">
        <v>450</v>
      </c>
      <c r="H10" s="51" t="s">
        <v>450</v>
      </c>
      <c r="I10" s="9" t="s">
        <v>26</v>
      </c>
      <c r="J10" s="26"/>
    </row>
    <row r="11" customFormat="false" ht="27.75" hidden="false" customHeight="true" outlineLevel="0" collapsed="false">
      <c r="B11" s="23" t="n">
        <v>6</v>
      </c>
      <c r="C11" s="9" t="s">
        <v>460</v>
      </c>
      <c r="D11" s="9" t="s">
        <v>461</v>
      </c>
      <c r="E11" s="51" t="s">
        <v>450</v>
      </c>
      <c r="F11" s="51" t="s">
        <v>450</v>
      </c>
      <c r="G11" s="51" t="s">
        <v>450</v>
      </c>
      <c r="H11" s="51" t="s">
        <v>450</v>
      </c>
      <c r="I11" s="9" t="s">
        <v>462</v>
      </c>
      <c r="J11" s="26"/>
    </row>
    <row r="12" customFormat="false" ht="48" hidden="false" customHeight="true" outlineLevel="0" collapsed="false">
      <c r="B12" s="23" t="n">
        <v>7</v>
      </c>
      <c r="C12" s="9" t="s">
        <v>463</v>
      </c>
      <c r="D12" s="9" t="s">
        <v>464</v>
      </c>
      <c r="E12" s="51" t="s">
        <v>450</v>
      </c>
      <c r="F12" s="51" t="s">
        <v>450</v>
      </c>
      <c r="G12" s="51" t="s">
        <v>450</v>
      </c>
      <c r="H12" s="51" t="s">
        <v>450</v>
      </c>
      <c r="I12" s="9" t="s">
        <v>465</v>
      </c>
      <c r="J12" s="26"/>
    </row>
    <row r="13" customFormat="false" ht="48" hidden="false" customHeight="true" outlineLevel="0" collapsed="false">
      <c r="B13" s="23" t="n">
        <v>8</v>
      </c>
      <c r="C13" s="9" t="s">
        <v>466</v>
      </c>
      <c r="D13" s="9" t="s">
        <v>467</v>
      </c>
      <c r="E13" s="51" t="s">
        <v>450</v>
      </c>
      <c r="F13" s="51" t="s">
        <v>450</v>
      </c>
      <c r="G13" s="51" t="s">
        <v>450</v>
      </c>
      <c r="H13" s="51" t="s">
        <v>450</v>
      </c>
      <c r="I13" s="9" t="s">
        <v>468</v>
      </c>
      <c r="J13" s="26"/>
    </row>
    <row r="14" customFormat="false" ht="48" hidden="false" customHeight="true" outlineLevel="0" collapsed="false">
      <c r="B14" s="23" t="n">
        <v>9</v>
      </c>
      <c r="C14" s="9" t="s">
        <v>469</v>
      </c>
      <c r="D14" s="9" t="s">
        <v>470</v>
      </c>
      <c r="E14" s="51" t="s">
        <v>450</v>
      </c>
      <c r="F14" s="51" t="s">
        <v>450</v>
      </c>
      <c r="G14" s="51" t="s">
        <v>450</v>
      </c>
      <c r="H14" s="51" t="s">
        <v>450</v>
      </c>
      <c r="I14" s="9" t="s">
        <v>471</v>
      </c>
      <c r="J14" s="26"/>
    </row>
    <row r="15" customFormat="false" ht="27.75" hidden="false" customHeight="true" outlineLevel="0" collapsed="false">
      <c r="B15" s="23" t="n">
        <v>10</v>
      </c>
      <c r="C15" s="9" t="s">
        <v>472</v>
      </c>
      <c r="D15" s="9" t="s">
        <v>473</v>
      </c>
      <c r="E15" s="51" t="s">
        <v>450</v>
      </c>
      <c r="F15" s="51" t="s">
        <v>450</v>
      </c>
      <c r="G15" s="51" t="s">
        <v>450</v>
      </c>
      <c r="H15" s="51" t="s">
        <v>450</v>
      </c>
      <c r="I15" s="9" t="s">
        <v>26</v>
      </c>
      <c r="J15" s="26"/>
    </row>
    <row r="16" customFormat="false" ht="48" hidden="false" customHeight="true" outlineLevel="0" collapsed="false">
      <c r="B16" s="23" t="n">
        <v>11</v>
      </c>
      <c r="C16" s="9" t="s">
        <v>474</v>
      </c>
      <c r="D16" s="9" t="s">
        <v>475</v>
      </c>
      <c r="E16" s="51" t="s">
        <v>450</v>
      </c>
      <c r="F16" s="51" t="s">
        <v>450</v>
      </c>
      <c r="G16" s="51" t="s">
        <v>450</v>
      </c>
      <c r="H16" s="51" t="s">
        <v>450</v>
      </c>
      <c r="I16" s="9" t="s">
        <v>476</v>
      </c>
      <c r="J16" s="26"/>
    </row>
    <row r="17" customFormat="false" ht="30" hidden="false" customHeight="true" outlineLevel="0" collapsed="false">
      <c r="B17" s="33"/>
      <c r="C17" s="49" t="s">
        <v>477</v>
      </c>
      <c r="D17" s="33"/>
      <c r="E17" s="8" t="str">
        <f aca="false">COUNTIF(E6:E16,"Available")&amp;" / "&amp;(11-COUNTIF(E6:E16,"Not Applicable"))</f>
        <v>0 / 11</v>
      </c>
      <c r="F17" s="8" t="str">
        <f aca="false">COUNTIF(F6:F16,"Available")&amp;" / "&amp;(11-COUNTIF(F6:F16,"Not Applicable"))</f>
        <v>0 / 11</v>
      </c>
      <c r="G17" s="8" t="str">
        <f aca="false">COUNTIF(G6:G16,"Available")&amp;" / "&amp;(11-COUNTIF(G6:G16,"Not Applicable"))</f>
        <v>0 / 11</v>
      </c>
      <c r="H17" s="8" t="str">
        <f aca="false">COUNTIF(H6:H16,"Available")&amp;" / "&amp;(11-COUNTIF(H6:H16,"Not Applicable"))</f>
        <v>0 / 11</v>
      </c>
      <c r="I17" s="33"/>
      <c r="J17" s="33"/>
    </row>
  </sheetData>
  <mergeCells count="2">
    <mergeCell ref="B2:J2"/>
    <mergeCell ref="B3:J3"/>
  </mergeCells>
  <conditionalFormatting sqref="E6:H16">
    <cfRule type="cellIs" priority="2" operator="equal" aboveAverage="0" equalAverage="0" bottom="0" percent="0" rank="0" text="" dxfId="2">
      <formula>"Available"</formula>
    </cfRule>
    <cfRule type="cellIs" priority="3" operator="equal" aboveAverage="0" equalAverage="0" bottom="0" percent="0" rank="0" text="" dxfId="3">
      <formula>"Pending"</formula>
    </cfRule>
  </conditionalFormatting>
  <dataValidations count="1">
    <dataValidation allowBlank="true" errorStyle="stop" operator="between" showDropDown="false" showErrorMessage="false" showInputMessage="false" sqref="E6:H16" type="list">
      <formula1>"Available,Pending,Not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0"/>
    <col collapsed="false" customWidth="true" hidden="false" outlineLevel="0" max="6" min="4" style="0" width="32"/>
  </cols>
  <sheetData>
    <row r="2" customFormat="false" ht="43.5" hidden="false" customHeight="true" outlineLevel="0" collapsed="false">
      <c r="B2" s="18" t="s">
        <v>478</v>
      </c>
      <c r="C2" s="18"/>
      <c r="D2" s="18"/>
      <c r="E2" s="18"/>
      <c r="F2" s="18"/>
    </row>
    <row r="3" customFormat="false" ht="26.25" hidden="false" customHeight="true" outlineLevel="0" collapsed="false">
      <c r="B3" s="52" t="s">
        <v>479</v>
      </c>
      <c r="C3" s="52"/>
      <c r="D3" s="52"/>
      <c r="E3" s="52"/>
      <c r="F3" s="52"/>
    </row>
    <row r="5" customFormat="false" ht="48" hidden="false" customHeight="true" outlineLevel="0" collapsed="false">
      <c r="B5" s="7" t="s">
        <v>480</v>
      </c>
      <c r="C5" s="7"/>
      <c r="D5" s="7"/>
      <c r="E5" s="7"/>
      <c r="F5" s="7"/>
    </row>
    <row r="6" customFormat="false" ht="48" hidden="false" customHeight="true" outlineLevel="0" collapsed="false">
      <c r="B6" s="53" t="s">
        <v>481</v>
      </c>
      <c r="C6" s="53"/>
      <c r="D6" s="53"/>
      <c r="E6" s="53"/>
      <c r="F6" s="53"/>
    </row>
    <row r="8" customFormat="false" ht="129.75" hidden="false" customHeight="true" outlineLevel="0" collapsed="false">
      <c r="B8" s="7" t="s">
        <v>482</v>
      </c>
      <c r="C8" s="7"/>
      <c r="D8" s="7"/>
      <c r="E8" s="7"/>
      <c r="F8" s="7"/>
    </row>
    <row r="10" customFormat="false" ht="57.75" hidden="false" customHeight="true" outlineLevel="0" collapsed="false">
      <c r="B10" s="8" t="s">
        <v>483</v>
      </c>
      <c r="C10" s="8" t="s">
        <v>484</v>
      </c>
      <c r="D10" s="8" t="s">
        <v>485</v>
      </c>
      <c r="E10" s="8" t="s">
        <v>486</v>
      </c>
      <c r="F10" s="8" t="s">
        <v>179</v>
      </c>
    </row>
    <row r="11" customFormat="false" ht="27.75" hidden="false" customHeight="true" outlineLevel="0" collapsed="false">
      <c r="B11" s="23" t="n">
        <v>1</v>
      </c>
      <c r="C11" s="23" t="s">
        <v>252</v>
      </c>
      <c r="D11" s="54" t="n">
        <f aca="false">'5. Summary &amp; Ratio'!D7</f>
        <v>0</v>
      </c>
      <c r="E11" s="54" t="n">
        <f aca="false">'5. Summary &amp; Ratio'!D8</f>
        <v>0</v>
      </c>
      <c r="F11" s="55" t="str">
        <f aca="false">IF(E11=0,"-",D11/E11)</f>
        <v>-</v>
      </c>
    </row>
    <row r="12" customFormat="false" ht="27.75" hidden="false" customHeight="true" outlineLevel="0" collapsed="false">
      <c r="B12" s="23" t="n">
        <v>2</v>
      </c>
      <c r="C12" s="23" t="s">
        <v>253</v>
      </c>
      <c r="D12" s="54" t="n">
        <f aca="false">'5. Summary &amp; Ratio'!E7</f>
        <v>0</v>
      </c>
      <c r="E12" s="54" t="n">
        <f aca="false">'5. Summary &amp; Ratio'!E8</f>
        <v>0</v>
      </c>
      <c r="F12" s="55" t="str">
        <f aca="false">IF(E12=0,"-",D12/E12)</f>
        <v>-</v>
      </c>
    </row>
    <row r="13" customFormat="false" ht="27.75" hidden="false" customHeight="true" outlineLevel="0" collapsed="false">
      <c r="B13" s="23" t="n">
        <v>3</v>
      </c>
      <c r="C13" s="23" t="s">
        <v>254</v>
      </c>
      <c r="D13" s="54" t="n">
        <f aca="false">'5. Summary &amp; Ratio'!F7</f>
        <v>0</v>
      </c>
      <c r="E13" s="54" t="n">
        <f aca="false">'5. Summary &amp; Ratio'!F8</f>
        <v>0</v>
      </c>
      <c r="F13" s="55" t="str">
        <f aca="false">IF(E13=0,"-",D13/E13)</f>
        <v>-</v>
      </c>
    </row>
    <row r="14" customFormat="false" ht="27.75" hidden="false" customHeight="true" outlineLevel="0" collapsed="false">
      <c r="B14" s="23" t="n">
        <v>4</v>
      </c>
      <c r="C14" s="23" t="s">
        <v>255</v>
      </c>
      <c r="D14" s="54" t="n">
        <f aca="false">'5. Summary &amp; Ratio'!G7</f>
        <v>0</v>
      </c>
      <c r="E14" s="54" t="n">
        <f aca="false">'5. Summary &amp; Ratio'!G8</f>
        <v>0</v>
      </c>
      <c r="F14" s="55" t="str">
        <f aca="false">IF(E14=0,"-",D14/E14)</f>
        <v>-</v>
      </c>
    </row>
    <row r="15" customFormat="false" ht="45" hidden="false" customHeight="true" outlineLevel="0" collapsed="false">
      <c r="B15" s="56"/>
      <c r="C15" s="56" t="s">
        <v>487</v>
      </c>
      <c r="D15" s="57" t="n">
        <f aca="false">SUM(D11:D13)</f>
        <v>0</v>
      </c>
      <c r="E15" s="57" t="n">
        <f aca="false">SUM(E11:E13)</f>
        <v>0</v>
      </c>
      <c r="F15" s="58" t="str">
        <f aca="false">IF(E15=0,"-",D15/E15)</f>
        <v>-</v>
      </c>
    </row>
    <row r="17" customFormat="false" ht="109.5" hidden="false" customHeight="true" outlineLevel="0" collapsed="false">
      <c r="B17" s="7" t="s">
        <v>488</v>
      </c>
      <c r="C17" s="7"/>
      <c r="D17" s="7"/>
      <c r="E17" s="7"/>
      <c r="F17" s="7"/>
    </row>
    <row r="20" customFormat="false" ht="25.5" hidden="false" customHeight="true" outlineLevel="0" collapsed="false">
      <c r="B20" s="59" t="s">
        <v>489</v>
      </c>
      <c r="C20" s="59"/>
      <c r="D20" s="59"/>
      <c r="E20" s="60" t="s">
        <v>490</v>
      </c>
      <c r="F20" s="60"/>
    </row>
    <row r="21" customFormat="false" ht="25.5" hidden="false" customHeight="true" outlineLevel="0" collapsed="false">
      <c r="B21" s="59" t="s">
        <v>491</v>
      </c>
      <c r="C21" s="59"/>
      <c r="D21" s="59"/>
      <c r="E21" s="60" t="s">
        <v>492</v>
      </c>
      <c r="F21" s="60"/>
    </row>
    <row r="22" customFormat="false" ht="25.5" hidden="false" customHeight="true" outlineLevel="0" collapsed="false">
      <c r="B22" s="59"/>
      <c r="C22" s="59"/>
      <c r="D22" s="59"/>
      <c r="E22" s="60" t="s">
        <v>493</v>
      </c>
      <c r="F22" s="60"/>
    </row>
    <row r="23" customFormat="false" ht="25.5" hidden="false" customHeight="true" outlineLevel="0" collapsed="false">
      <c r="B23" s="59" t="s">
        <v>494</v>
      </c>
      <c r="C23" s="59"/>
      <c r="D23" s="59"/>
      <c r="E23" s="60" t="s">
        <v>494</v>
      </c>
      <c r="F23" s="60"/>
    </row>
    <row r="24" customFormat="false" ht="25.5" hidden="false" customHeight="true" outlineLevel="0" collapsed="false">
      <c r="B24" s="59" t="s">
        <v>495</v>
      </c>
      <c r="C24" s="59"/>
      <c r="D24" s="59"/>
      <c r="E24" s="60"/>
      <c r="F24" s="60"/>
    </row>
    <row r="25" customFormat="false" ht="25.5" hidden="false" customHeight="true" outlineLevel="0" collapsed="false">
      <c r="B25" s="59" t="s">
        <v>496</v>
      </c>
      <c r="C25" s="59"/>
      <c r="D25" s="59"/>
      <c r="E25" s="60"/>
      <c r="F25" s="60"/>
    </row>
    <row r="27" customFormat="false" ht="45" hidden="false" customHeight="true" outlineLevel="0" collapsed="false">
      <c r="B27" s="61" t="s">
        <v>497</v>
      </c>
      <c r="C27" s="61"/>
      <c r="D27" s="61"/>
      <c r="E27" s="61"/>
      <c r="F27" s="61"/>
    </row>
  </sheetData>
  <mergeCells count="19">
    <mergeCell ref="B2:F2"/>
    <mergeCell ref="B3:F3"/>
    <mergeCell ref="B5:F5"/>
    <mergeCell ref="B6:F6"/>
    <mergeCell ref="B8:F8"/>
    <mergeCell ref="B17:F17"/>
    <mergeCell ref="B20:D20"/>
    <mergeCell ref="E20:F20"/>
    <mergeCell ref="B21:D21"/>
    <mergeCell ref="E21:F21"/>
    <mergeCell ref="B22:D22"/>
    <mergeCell ref="E22:F22"/>
    <mergeCell ref="B23:D23"/>
    <mergeCell ref="E23:F23"/>
    <mergeCell ref="B24:D24"/>
    <mergeCell ref="E24:F24"/>
    <mergeCell ref="B25:D25"/>
    <mergeCell ref="E25:F25"/>
    <mergeCell ref="B27:F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2026-10-16T08:25:24Z</dcterms:created>
  <dc:creator>openpyxl</dc:creator>
  <dc:description/>
  <dc:language>en-US</dc:language>
  <cp:lastModifiedBy/>
  <dcterms:modified xsi:type="dcterms:W3CDTF">2026-10-16T08:25:28Z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