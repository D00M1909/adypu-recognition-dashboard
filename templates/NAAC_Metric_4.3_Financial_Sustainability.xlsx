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Cover" sheetId="1" state="visible" r:id="rId3"/>
    <sheet name="2. Guidelines" sheetId="2" state="visible" r:id="rId4"/>
    <sheet name="3. Corpus Fund" sheetId="3" state="visible" r:id="rId5"/>
    <sheet name="4. Investment Portfolio" sheetId="4" state="visible" r:id="rId6"/>
    <sheet name="5. Strategies &amp; Policies" sheetId="5" state="visible" r:id="rId7"/>
    <sheet name="6. Summary &amp; Compliance" sheetId="6" state="visible" r:id="rId8"/>
    <sheet name="7. Worked Example" sheetId="7" state="visible" r:id="rId9"/>
    <sheet name="8. Document Checklist" sheetId="8" state="visible" r:id="rId10"/>
    <sheet name="9. CA Certificate" sheetId="9" state="visible" r:id="rId11"/>
  </sheets>
  <definedNames>
    <definedName function="false" hidden="false" localSheetId="2" name="_xlnm.Print_Titles" vbProcedure="false">'3. Corpus Fund'!$5:$5</definedName>
    <definedName function="false" hidden="false" localSheetId="3" name="_xlnm.Print_Titles" vbProcedure="false">'4. Investment Portfolio'!$5:$5</definedName>
    <definedName function="false" hidden="false" localSheetId="4" name="_xlnm.Print_Titles" vbProcedure="false">'5. Strategies &amp; Policies'!$5:$5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<sst xmlns="http://schemas.openxmlformats.org/spreadsheetml/2006/main" count="674" uniqueCount="464">
  <si>
    <t xml:space="preserve">[UNIVERSITY NAME]</t>
  </si>
  <si>
    <t xml:space="preserve">Internal Quality Assurance Cell (IQAC)</t>
  </si>
  <si>
    <t xml:space="preserve">NAAC Binary Accreditation Framework  |  Attribute 4 – Financial Resources &amp; Management (50)</t>
  </si>
  <si>
    <t xml:space="preserve">Metric 4.3 – Sustainability: Strategies for Financial Sustainability   (Weightage: 10)</t>
  </si>
  <si>
    <t xml:space="preserve">(a) Creation of Corpus   •   (b) Diversification of Investments</t>
  </si>
  <si>
    <t xml:space="preserve">Data Capture, Compliance &amp; Evidence Workbook  •  Financial Years 2025-26, 2024-25, 2023-24 and 2022-23  •  All amounts in INR Lakhs</t>
  </si>
  <si>
    <t xml:space="preserve">ABSTRACT</t>
  </si>
  <si>
    <t xml:space="preserve">This workbook is the institutional tool for preparing NAAC Metric 4.3 – Sustainability. Unlike Metrics 4.1 and 4.2, which are ratio-based, Metric 4.3 is an options-based metric: the institution must demonstrate, through audited accounts, the strategies it follows for long-term financial sustainability – (a) Creation of Corpus and (b) Diversification of Investments.
The workbook records, for four financial years (2025-26, 2024-25, 2023-24 and 2022-23): the year-wise movement of the Corpus / Endowment Fund (opening balance, additions, withdrawals and closing balance); the investment portfolio as at 31 March of each year, by type of instrument; investment income; and the policies and strategies adopted with their approvals. It then automatically evaluates compliance with options (a) and (b), computes supporting indicators – corpus growth, months of operating expenditure covered by corpus, number of investment categories, concentration and a diversification index – and pre-fills a Chartered Accountant (CA) certificate. Guidelines, a worked example and an evidence checklist are included.</t>
  </si>
  <si>
    <t xml:space="preserve">INTRODUCTION</t>
  </si>
  <si>
    <t xml:space="preserve">Why this metric matters: A university is financially sustainable when it can continue to deliver quality education over the long term, even if income falls temporarily or unforeseen expenses arise. NAAC looks for two concrete strategies:
(a) Creation of Corpus – a permanent or long-term fund built from surpluses, sponsoring-body contributions, endowments and donations, whose principal is preserved and whose income supports the institution. A corpus provides a financial cushion, satisfies statutory endowment requirements applicable to private universities, and signals prudent financial management.
(b) Diversification of Investments – placing surplus and corpus funds across different, safe and permitted instruments (fixed deposits in several scheduled banks, government securities, PSU bonds, debt mutual funds etc.) instead of concentrating them in one instrument or one bank. Diversification reduces risk, improves returns and ensures liquidity.
How it is assessed: The institution selects the options it fulfils and supports them with audited income and expenditure statements and balance sheets, highlighting the specific components, certified by a CA.
Link with other metrics: The corpus is normally built from the operating surplus shown in Metric 4.2 and from capital contributions shown in Metric 4.1. Investment income appears as revenue income in Metric 4.2. Financial controls over investments are covered in Metric 4.4.</t>
  </si>
  <si>
    <t xml:space="preserve">OBJECTIVES OF THIS WORKBOOK</t>
  </si>
  <si>
    <t xml:space="preserve">1.  Record corpus movement and investment holdings in a standard, year-wise format traceable to the audited Balance Sheet.
2.  Automatically test whether options (a) Creation of Corpus and (b) Diversification of Investments are fulfilled for each year.
3.  Compute indicators that demonstrate the strength of the strategy – corpus growth, months of cover, diversification index and investment yield.
4.  Document the policies, approvals and strategies adopted by the University.
5.  Track every supporting document and generate the CA certificate.</t>
  </si>
  <si>
    <t xml:space="preserve">WORKBOOK STRUCTURE</t>
  </si>
  <si>
    <t xml:space="preserve">Sheet</t>
  </si>
  <si>
    <t xml:space="preserve">Purpose</t>
  </si>
  <si>
    <t xml:space="preserve">Who fills / uses</t>
  </si>
  <si>
    <t xml:space="preserve">Action required</t>
  </si>
  <si>
    <t xml:space="preserve">1. Cover</t>
  </si>
  <si>
    <t xml:space="preserve">Abstract, introduction, objectives and structure</t>
  </si>
  <si>
    <t xml:space="preserve">All users</t>
  </si>
  <si>
    <t xml:space="preserve">Read first</t>
  </si>
  <si>
    <t xml:space="preserve">2. Guidelines</t>
  </si>
  <si>
    <t xml:space="preserve">Definitions, compliance criteria, procedure, include/exclude rules, indicators, documents, common errors</t>
  </si>
  <si>
    <t xml:space="preserve">Finance Office &amp; IQAC</t>
  </si>
  <si>
    <t xml:space="preserve">Read before entering data</t>
  </si>
  <si>
    <t xml:space="preserve">3. Corpus Fund</t>
  </si>
  <si>
    <t xml:space="preserve">Year-wise movement of Corpus / Endowment Fund</t>
  </si>
  <si>
    <t xml:space="preserve">Finance Office</t>
  </si>
  <si>
    <t xml:space="preserve">Enter figures in cream cells</t>
  </si>
  <si>
    <t xml:space="preserve">4. Investment Portfolio</t>
  </si>
  <si>
    <t xml:space="preserve">Investments by instrument as at 31 March, number of banks, investment income</t>
  </si>
  <si>
    <t xml:space="preserve">5. Strategies &amp; Policies</t>
  </si>
  <si>
    <t xml:space="preserve">Sustainability strategies, approving body, date and evidence</t>
  </si>
  <si>
    <t xml:space="preserve">Finance Officer &amp; IQAC</t>
  </si>
  <si>
    <t xml:space="preserve">Describe and select status</t>
  </si>
  <si>
    <t xml:space="preserve">6. Summary &amp; Compliance</t>
  </si>
  <si>
    <t xml:space="preserve">Option (a) and (b) compliance, indicators, interpretation and chart</t>
  </si>
  <si>
    <t xml:space="preserve">IQAC (auto-calculated)</t>
  </si>
  <si>
    <t xml:space="preserve">Review only – no entry</t>
  </si>
  <si>
    <t xml:space="preserve">7. Worked Example</t>
  </si>
  <si>
    <t xml:space="preserve">Illustration with hypothetical figures</t>
  </si>
  <si>
    <t xml:space="preserve">Training / reference</t>
  </si>
  <si>
    <t xml:space="preserve">Read only</t>
  </si>
  <si>
    <t xml:space="preserve">8. Document Checklist</t>
  </si>
  <si>
    <t xml:space="preserve">Status of every supporting document, FY-wise</t>
  </si>
  <si>
    <t xml:space="preserve">IQAC &amp; Finance Office</t>
  </si>
  <si>
    <t xml:space="preserve">Select status from drop-down</t>
  </si>
  <si>
    <t xml:space="preserve">9. CA Certificate</t>
  </si>
  <si>
    <t xml:space="preserve">Certificate format pre-filled from the Summary</t>
  </si>
  <si>
    <t xml:space="preserve">CA / Finance Officer</t>
  </si>
  <si>
    <t xml:space="preserve">Print, verify and sign</t>
  </si>
  <si>
    <t xml:space="preserve">CELL COLOUR LEGEND</t>
  </si>
  <si>
    <t xml:space="preserve">Cream fill, blue text</t>
  </si>
  <si>
    <t xml:space="preserve">Input cell – enter data here (INR Lakhs, two decimals)</t>
  </si>
  <si>
    <t xml:space="preserve">Light navy fill, black text</t>
  </si>
  <si>
    <t xml:space="preserve">Formula / subtotal – do not overwrite</t>
  </si>
  <si>
    <t xml:space="preserve">Green text</t>
  </si>
  <si>
    <t xml:space="preserve">Value linked from another sheet – do not overwrite</t>
  </si>
  <si>
    <t xml:space="preserve">Navy fill, gold/white text</t>
  </si>
  <si>
    <t xml:space="preserve">Headings and sections</t>
  </si>
  <si>
    <t xml:space="preserve">Prepared by: IQAC, [University Name]   |   Version 1.0   |   Basis: NAAC Binary Accreditation Framework – Metrics for Manual (Base), Draft Version</t>
  </si>
  <si>
    <t xml:space="preserve">Note: The NAAC draft lists the two options but does not publish the scoring method. Compliance tests and indicator bands in this workbook are indicative IQAC guidance; update them when NAAC notifies the final SOP.</t>
  </si>
  <si>
    <t xml:space="preserve">GUIDELINES FOR PREPARING METRIC 4.3</t>
  </si>
  <si>
    <t xml:space="preserve">G1.  WHAT NAAC ASKS</t>
  </si>
  <si>
    <t xml:space="preserve">Option</t>
  </si>
  <si>
    <t xml:space="preserve">Strategy</t>
  </si>
  <si>
    <t xml:space="preserve">What it means</t>
  </si>
  <si>
    <t xml:space="preserve">Evidence NAAC asks for</t>
  </si>
  <si>
    <t xml:space="preserve">a</t>
  </si>
  <si>
    <t xml:space="preserve">Creation of Corpus</t>
  </si>
  <si>
    <t xml:space="preserve">A dedicated Corpus / Endowment / Reserve Fund exists in the Balance Sheet, has been created or strengthened during the assessment period, and its principal is preserved</t>
  </si>
  <si>
    <t xml:space="preserve">Audited Balance Sheet and I&amp;E statement highlighting the Corpus Fund schedule, certified by CA; audit extracts certified by CA</t>
  </si>
  <si>
    <t xml:space="preserve">b</t>
  </si>
  <si>
    <t xml:space="preserve">Diversification of Investments</t>
  </si>
  <si>
    <t xml:space="preserve">Corpus and surplus funds are invested across more than one type of permitted instrument and/or more than one institution, as per an approved investment policy</t>
  </si>
  <si>
    <t xml:space="preserve">Audited Balance Sheet investment schedule highlighting the instruments, certified by CA; audit extracts certified by CA</t>
  </si>
  <si>
    <t xml:space="preserve">G2.  ASSESSMENT PERIOD AND YEAR BASIS</t>
  </si>
  <si>
    <t xml:space="preserve">•  Use FINANCIAL YEARS (1 April – 31 March).
•  NAAC assessment period = FY 2025-26, FY 2024-25 and FY 2023-24. FY 2022-23 is captured as a baseline for growth calculations; its closing balance becomes the opening balance of FY 2023-24.
•  Balances (corpus, investments) are taken AS AT 31 MARCH of each FY; movements (additions, withdrawals, income) are FOR THE YEAR.
•  All amounts in INR Lakhs, two decimals.</t>
  </si>
  <si>
    <t xml:space="preserve">G3.  COMPLIANCE CRITERIA USED IN THIS WORKBOOK (INDICATIVE)</t>
  </si>
  <si>
    <t xml:space="preserve">Test applied</t>
  </si>
  <si>
    <t xml:space="preserve">Result shown</t>
  </si>
  <si>
    <t xml:space="preserve">Notes</t>
  </si>
  <si>
    <t xml:space="preserve">Closing corpus at 31 March of the latest FY is greater than zero AND additions to corpus were made during the NAAC three-year period</t>
  </si>
  <si>
    <t xml:space="preserve">'Yes – Corpus created / strengthened'</t>
  </si>
  <si>
    <t xml:space="preserve">Strongest claim – shows an active corpus-building strategy</t>
  </si>
  <si>
    <t xml:space="preserve">Closing corpus is greater than zero but no additions in the three years</t>
  </si>
  <si>
    <t xml:space="preserve">'Yes – Corpus maintained'</t>
  </si>
  <si>
    <t xml:space="preserve">Option met, but explain why no additions were made</t>
  </si>
  <si>
    <t xml:space="preserve">No corpus balance</t>
  </si>
  <si>
    <t xml:space="preserve">'No'</t>
  </si>
  <si>
    <t xml:space="preserve">Do not claim the option</t>
  </si>
  <si>
    <t xml:space="preserve">Investments are held in TWO OR MORE instrument categories at 31 March of the latest FY</t>
  </si>
  <si>
    <t xml:space="preserve">'Yes'</t>
  </si>
  <si>
    <t xml:space="preserve">Supported further by number of banks and diversification index</t>
  </si>
  <si>
    <t xml:space="preserve">Only one instrument category</t>
  </si>
  <si>
    <t xml:space="preserve">FDs in several banks alone may be argued as diversification across institutions – record the number of banks and seek clarification in the final SOP</t>
  </si>
  <si>
    <t xml:space="preserve">G4.  STEP-BY-STEP PROCEDURE</t>
  </si>
  <si>
    <t xml:space="preserve">Step</t>
  </si>
  <si>
    <t xml:space="preserve">Activity</t>
  </si>
  <si>
    <t xml:space="preserve">How to do it</t>
  </si>
  <si>
    <t xml:space="preserve">Responsibility / Output</t>
  </si>
  <si>
    <t xml:space="preserve">1</t>
  </si>
  <si>
    <t xml:space="preserve">Collect audited Balance Sheets</t>
  </si>
  <si>
    <t xml:space="preserve">Obtain audited Balance Sheet, I&amp;E Account and schedules for FY 2022-23 to 2025-26</t>
  </si>
  <si>
    <t xml:space="preserve">2</t>
  </si>
  <si>
    <t xml:space="preserve">Corpus schedule</t>
  </si>
  <si>
    <t xml:space="preserve">From the Corpus / Endowment / Reserve Fund schedule enter the opening balance of FY 2022-23 and, for each FY, the additions and withdrawals by source</t>
  </si>
  <si>
    <t xml:space="preserve">Finance Office – Sheet 3</t>
  </si>
  <si>
    <t xml:space="preserve">3</t>
  </si>
  <si>
    <t xml:space="preserve">Check closing balance</t>
  </si>
  <si>
    <t xml:space="preserve">Closing balance in Sheet 3 must equal the audited Balance Sheet figure; enter the audited figure in the check row</t>
  </si>
  <si>
    <t xml:space="preserve">4</t>
  </si>
  <si>
    <t xml:space="preserve">Investment schedule</t>
  </si>
  <si>
    <t xml:space="preserve">From the Investments schedule enter holdings as at 31 March by instrument; enter number of banks/institutions and investment income</t>
  </si>
  <si>
    <t xml:space="preserve">Finance Office – Sheet 4</t>
  </si>
  <si>
    <t xml:space="preserve">5</t>
  </si>
  <si>
    <t xml:space="preserve">Revenue expenditure</t>
  </si>
  <si>
    <t xml:space="preserve">Enter total revenue expenditure for each FY from the Metric 4.2 workbook (used for months-of-cover)</t>
  </si>
  <si>
    <t xml:space="preserve">6</t>
  </si>
  <si>
    <t xml:space="preserve">Strategies &amp; policies</t>
  </si>
  <si>
    <t xml:space="preserve">Describe each strategy, the approving body (Finance Committee / BOM / Governing Body) and date; attach evidence</t>
  </si>
  <si>
    <t xml:space="preserve">Finance Officer &amp; IQAC – Sheet 5</t>
  </si>
  <si>
    <t xml:space="preserve">7</t>
  </si>
  <si>
    <t xml:space="preserve">Review compliance</t>
  </si>
  <si>
    <t xml:space="preserve">Check Sheet 6 for options (a) and (b) and the indicators</t>
  </si>
  <si>
    <t xml:space="preserve">IQAC Director</t>
  </si>
  <si>
    <t xml:space="preserve">8</t>
  </si>
  <si>
    <t xml:space="preserve">CA certificate</t>
  </si>
  <si>
    <t xml:space="preserve">Print Sheet 9; CA verifies and signs; Registrar / Finance Officer countersigns</t>
  </si>
  <si>
    <t xml:space="preserve">CA &amp; competent authority</t>
  </si>
  <si>
    <t xml:space="preserve">9</t>
  </si>
  <si>
    <t xml:space="preserve">Upload</t>
  </si>
  <si>
    <t xml:space="preserve">Select the options met on the NAAC portal; upload CA certificate and highlighted audited statements</t>
  </si>
  <si>
    <t xml:space="preserve">IQAC</t>
  </si>
  <si>
    <t xml:space="preserve">G5.  CORPUS – WHAT TO INCLUDE AND EXCLUDE</t>
  </si>
  <si>
    <t xml:space="preserve">Item</t>
  </si>
  <si>
    <t xml:space="preserve">Include</t>
  </si>
  <si>
    <t xml:space="preserve">Exclude</t>
  </si>
  <si>
    <t xml:space="preserve">Where to look</t>
  </si>
  <si>
    <t xml:space="preserve">Corpus / Endowment Fund</t>
  </si>
  <si>
    <t xml:space="preserve">Funds designated as corpus, endowment, permanent fund or statutory endowment fund; general reserve earmarked as corpus by a Finance Committee / BOM resolution</t>
  </si>
  <si>
    <t xml:space="preserve">Unrestricted current account balances, fee received in advance, caution deposits, earmarked project funds of sponsors</t>
  </si>
  <si>
    <t xml:space="preserve">Balance Sheet – Corpus / Capital / Endowment Fund schedule</t>
  </si>
  <si>
    <t xml:space="preserve">Additions</t>
  </si>
  <si>
    <t xml:space="preserve">Transfer from operating surplus, sponsoring-body contribution to corpus, endowments and donations to corpus, interest earned and retained (ploughed back) in the corpus</t>
  </si>
  <si>
    <t xml:space="preserve">Capital grants for buildings (go to 4.1), revenue income</t>
  </si>
  <si>
    <t xml:space="preserve">Schedule movement; Trust/BOM resolutions</t>
  </si>
  <si>
    <t xml:space="preserve">Withdrawals</t>
  </si>
  <si>
    <t xml:space="preserve">Amounts withdrawn/utilised from the corpus for approved purposes (capital works, scholarships, contingencies)</t>
  </si>
  <si>
    <t xml:space="preserve">Interest transferred to I&amp;E is not a withdrawal of principal</t>
  </si>
  <si>
    <t xml:space="preserve">Schedule movement; approval minutes</t>
  </si>
  <si>
    <t xml:space="preserve">G6.  INVESTMENT CATEGORIES</t>
  </si>
  <si>
    <t xml:space="preserve">Code</t>
  </si>
  <si>
    <t xml:space="preserve">Instrument category</t>
  </si>
  <si>
    <t xml:space="preserve">Examples</t>
  </si>
  <si>
    <t xml:space="preserve">Remarks</t>
  </si>
  <si>
    <t xml:space="preserve">Fixed deposits with scheduled banks</t>
  </si>
  <si>
    <t xml:space="preserve">Term deposits in nationalised / scheduled private banks</t>
  </si>
  <si>
    <t xml:space="preserve">Record number of banks separately – spreading across banks is itself a diversification measure</t>
  </si>
  <si>
    <t xml:space="preserve">Government securities</t>
  </si>
  <si>
    <t xml:space="preserve">Central / State Government securities, treasury bills, RBI bonds</t>
  </si>
  <si>
    <t xml:space="preserve">Lowest risk</t>
  </si>
  <si>
    <t xml:space="preserve">PSU / public financial institution bonds &amp; deposits</t>
  </si>
  <si>
    <t xml:space="preserve">Bonds/deposits of PSUs, NABARD, SIDBI, HUDCO, PFC etc.</t>
  </si>
  <si>
    <t xml:space="preserve">Check permissibility under trust deed / applicable law</t>
  </si>
  <si>
    <t xml:space="preserve">Debt mutual funds / other approved instruments</t>
  </si>
  <si>
    <t xml:space="preserve">Debt / liquid mutual funds, if permitted by the investment policy and applicable law</t>
  </si>
  <si>
    <t xml:space="preserve">Charitable trusts must follow permitted modes of investment (e.g., Section 11(5) of the Income-tax Act) – confirm with CA</t>
  </si>
  <si>
    <t xml:space="preserve">Post office / other permitted deposits</t>
  </si>
  <si>
    <t xml:space="preserve">Post office deposits, other permitted schemes</t>
  </si>
  <si>
    <t xml:space="preserve">—</t>
  </si>
  <si>
    <t xml:space="preserve">Others (specify)</t>
  </si>
  <si>
    <t xml:space="preserve">Any other instrument shown in the investment schedule</t>
  </si>
  <si>
    <t xml:space="preserve">Specify in Remarks</t>
  </si>
  <si>
    <t xml:space="preserve">G7.  INDICATORS COMPUTED</t>
  </si>
  <si>
    <t xml:space="preserve">#</t>
  </si>
  <si>
    <t xml:space="preserve">Indicator</t>
  </si>
  <si>
    <t xml:space="preserve">Formula</t>
  </si>
  <si>
    <t xml:space="preserve">Meaning</t>
  </si>
  <si>
    <t xml:space="preserve">Closing Corpus</t>
  </si>
  <si>
    <t xml:space="preserve">Opening + Additions – Withdrawals</t>
  </si>
  <si>
    <t xml:space="preserve">Size of corpus at year end</t>
  </si>
  <si>
    <t xml:space="preserve">Corpus Growth %</t>
  </si>
  <si>
    <t xml:space="preserve">(Closing ÷ Previous closing) – 1</t>
  </si>
  <si>
    <t xml:space="preserve">Whether the corpus is being strengthened</t>
  </si>
  <si>
    <t xml:space="preserve">Months of Operating Cover</t>
  </si>
  <si>
    <t xml:space="preserve">Closing Corpus ÷ (Revenue Expenditure ÷ 12)</t>
  </si>
  <si>
    <t xml:space="preserve">How many months of running costs the corpus can support. Indicative: &lt; 3 low, 3–6 adequate, &gt; 6 strong</t>
  </si>
  <si>
    <t xml:space="preserve">Number of Investment Categories</t>
  </si>
  <si>
    <t xml:space="preserve">Count of categories with non-zero holding</t>
  </si>
  <si>
    <t xml:space="preserve">≥ 2 meets option (b)</t>
  </si>
  <si>
    <t xml:space="preserve">Largest Category Share %</t>
  </si>
  <si>
    <t xml:space="preserve">Largest holding ÷ Total investments</t>
  </si>
  <si>
    <t xml:space="preserve">Concentration; indicatively ≤ 70% preferred</t>
  </si>
  <si>
    <t xml:space="preserve">Diversification Index</t>
  </si>
  <si>
    <t xml:space="preserve">1 – Σ (share of each category)²</t>
  </si>
  <si>
    <t xml:space="preserve">0 = all in one instrument; higher = better spread. Indicative: &lt; 0.30 concentrated, 0.30–0.60 moderate, &gt; 0.60 well diversified</t>
  </si>
  <si>
    <t xml:space="preserve">Investment Yield %</t>
  </si>
  <si>
    <t xml:space="preserve">Investment income ÷ Total investments at year end</t>
  </si>
  <si>
    <t xml:space="preserve">Return on invested funds</t>
  </si>
  <si>
    <t xml:space="preserve">G8.  SUPPORTING DOCUMENTS REQUIRED BY NAAC</t>
  </si>
  <si>
    <t xml:space="preserve">1.  Audited Income &amp; Expenditure statement (and Balance Sheet) of the institution highlighting the corpus and investment components, certified by the CA.
2.  Audit extracts of the same, certified by the CA (use Sheet 9).
Recommended additional evidence: Corpus / Endowment Fund policy and Investment Policy approved by Finance Committee / BOM; resolutions for transfer of surplus to corpus; FD receipts / bank confirmations / demat or holding statements as at 31 March; statutory endowment fund compliance (where applicable); Finance Committee minutes reviewing investments. Track these in Sheet 8.</t>
  </si>
  <si>
    <t xml:space="preserve">G9.  COMMON ERRORS AND HOW TO AVOID THEM</t>
  </si>
  <si>
    <t xml:space="preserve">Error</t>
  </si>
  <si>
    <t xml:space="preserve">Consequence</t>
  </si>
  <si>
    <t xml:space="preserve">Prevention</t>
  </si>
  <si>
    <t xml:space="preserve">Claiming general bank balances as corpus</t>
  </si>
  <si>
    <t xml:space="preserve">Option (a) rejected</t>
  </si>
  <si>
    <t xml:space="preserve">Only funds formally designated as corpus/endowment by resolution and shown separately in the Balance Sheet</t>
  </si>
  <si>
    <t xml:space="preserve">Closing balance in workbook differs from audited Balance Sheet</t>
  </si>
  <si>
    <t xml:space="preserve">DVV query</t>
  </si>
  <si>
    <t xml:space="preserve">Use the check row in Sheet 3</t>
  </si>
  <si>
    <t xml:space="preserve">Total investments exceed sum of corpus and free reserves without explanation</t>
  </si>
  <si>
    <t xml:space="preserve">Credibility issue</t>
  </si>
  <si>
    <t xml:space="preserve">Reconcile investments with funds in Balance Sheet</t>
  </si>
  <si>
    <t xml:space="preserve">No approved investment policy</t>
  </si>
  <si>
    <t xml:space="preserve">Weak evidence for option (b)</t>
  </si>
  <si>
    <t xml:space="preserve">Get the policy approved by Finance Committee / BOM and record in Sheet 5</t>
  </si>
  <si>
    <t xml:space="preserve">Investing in instruments not permitted for the trust/university</t>
  </si>
  <si>
    <t xml:space="preserve">Audit and tax objections</t>
  </si>
  <si>
    <t xml:space="preserve">Confirm permissibility with CA before investing</t>
  </si>
  <si>
    <t xml:space="preserve">Investment income here not matching revenue income in 4.2</t>
  </si>
  <si>
    <t xml:space="preserve">Inconsistency</t>
  </si>
  <si>
    <t xml:space="preserve">Use the same ledger figure</t>
  </si>
  <si>
    <t xml:space="preserve">SHEET 3 – CORPUS / ENDOWMENT FUND MOVEMENT (INR LAKHS)</t>
  </si>
  <si>
    <t xml:space="preserve">Record the year-wise movement of the Corpus / Endowment / Permanent Fund as shown in the audited Balance Sheet schedule. Enter the opening balance only for FY 2022-23; the opening balance of every later year is carried forward automatically from the previous year's closing balance. Enter additions by source and withdrawals by purpose. Source: Balance Sheet – Corpus / Endowment Fund schedule; Finance Committee / BOM resolutions.</t>
  </si>
  <si>
    <t xml:space="preserve">Particulars (INR Lakhs)</t>
  </si>
  <si>
    <t xml:space="preserve">FY 2025-26</t>
  </si>
  <si>
    <t xml:space="preserve">FY 2024-25</t>
  </si>
  <si>
    <t xml:space="preserve">FY 2023-24</t>
  </si>
  <si>
    <t xml:space="preserve">FY 2022-23</t>
  </si>
  <si>
    <t xml:space="preserve">NAAC 3-Yr Total
(movements only)</t>
  </si>
  <si>
    <t xml:space="preserve">Audit Reference
(Schedule / Page)</t>
  </si>
  <si>
    <t xml:space="preserve">A</t>
  </si>
  <si>
    <t xml:space="preserve">Opening balance of Corpus Fund (1 April)</t>
  </si>
  <si>
    <t xml:space="preserve">n.a.</t>
  </si>
  <si>
    <t xml:space="preserve">B</t>
  </si>
  <si>
    <t xml:space="preserve">Add: Additions to Corpus during the year</t>
  </si>
  <si>
    <t xml:space="preserve">B1</t>
  </si>
  <si>
    <t xml:space="preserve">Transfer from operating surplus (I&amp;E)</t>
  </si>
  <si>
    <t xml:space="preserve">B2</t>
  </si>
  <si>
    <t xml:space="preserve">Contribution by Trust / Sponsoring body to corpus</t>
  </si>
  <si>
    <t xml:space="preserve">B3</t>
  </si>
  <si>
    <t xml:space="preserve">Endowments &amp; donations received for corpus</t>
  </si>
  <si>
    <t xml:space="preserve">B4</t>
  </si>
  <si>
    <t xml:space="preserve">Interest / income earned and retained in corpus</t>
  </si>
  <si>
    <t xml:space="preserve">B5</t>
  </si>
  <si>
    <t xml:space="preserve">Other additions (specify in Remarks)</t>
  </si>
  <si>
    <t xml:space="preserve">Total Additions</t>
  </si>
  <si>
    <t xml:space="preserve">C</t>
  </si>
  <si>
    <t xml:space="preserve">Less: Withdrawals / utilisation from Corpus during the year</t>
  </si>
  <si>
    <t xml:space="preserve">C1</t>
  </si>
  <si>
    <t xml:space="preserve">Utilised for capital works / infrastructure</t>
  </si>
  <si>
    <t xml:space="preserve">C2</t>
  </si>
  <si>
    <t xml:space="preserve">Utilised for scholarships / student support</t>
  </si>
  <si>
    <t xml:space="preserve">C3</t>
  </si>
  <si>
    <t xml:space="preserve">Utilised for contingencies / other approved purposes (specify)</t>
  </si>
  <si>
    <t xml:space="preserve">Total Withdrawals</t>
  </si>
  <si>
    <t xml:space="preserve">D</t>
  </si>
  <si>
    <t xml:space="preserve">Closing balance of Corpus Fund (31 March) = A + B – C</t>
  </si>
  <si>
    <t xml:space="preserve">E</t>
  </si>
  <si>
    <t xml:space="preserve">Verification and supporting inputs</t>
  </si>
  <si>
    <t xml:space="preserve">E1</t>
  </si>
  <si>
    <t xml:space="preserve">Closing corpus as per audited Balance Sheet (input)</t>
  </si>
  <si>
    <t xml:space="preserve">E2</t>
  </si>
  <si>
    <t xml:space="preserve">Difference (Workbook closing – Audited)  → should be 0</t>
  </si>
  <si>
    <t xml:space="preserve">E3</t>
  </si>
  <si>
    <t xml:space="preserve">Verification status</t>
  </si>
  <si>
    <t xml:space="preserve">E4</t>
  </si>
  <si>
    <t xml:space="preserve">Total Revenue Expenditure for the FY (from Metric 4.2 workbook) (input)</t>
  </si>
  <si>
    <t xml:space="preserve">Filling rules: (1) Enter amounts in INR Lakhs (two decimals) in cream cells only. (2) Opening balance is entered ONLY for FY 2022-23; later years carry forward automatically. (3) Enter 0 or leave blank where not applicable. (4) Give the Balance Sheet schedule/page in 'Audit Reference' for every non-zero figure. (5) Refer to Sheet 2, G5 for what counts as corpus.</t>
  </si>
  <si>
    <t xml:space="preserve">SHEET 4 – INVESTMENT PORTFOLIO AS AT 31 MARCH (INR LAKHS)</t>
  </si>
  <si>
    <t xml:space="preserve">Record investments (of corpus and surplus funds) held as at 31 March of each financial year, classified by type of instrument, as per the audited Balance Sheet investment schedule. Also enter the number of banks / institutions where funds are invested and the investment income earned during the year. Source: Balance Sheet – Investments schedule; FD register; bank confirmations; holding statements.</t>
  </si>
  <si>
    <t xml:space="preserve">Instrument category (INR Lakhs)</t>
  </si>
  <si>
    <t xml:space="preserve">FY 2025-26
(as at 31 Mar)</t>
  </si>
  <si>
    <t xml:space="preserve">FY 2024-25
(as at 31 Mar)</t>
  </si>
  <si>
    <t xml:space="preserve">FY 2023-24
(as at 31 Mar)</t>
  </si>
  <si>
    <t xml:space="preserve">FY 2022-23
(as at 31 Mar)</t>
  </si>
  <si>
    <t xml:space="preserve">Average
(NAAC 3 Yrs)</t>
  </si>
  <si>
    <t xml:space="preserve">Government securities / treasury bills / RBI bonds</t>
  </si>
  <si>
    <t xml:space="preserve">Others (specify in Remarks)</t>
  </si>
  <si>
    <t xml:space="preserve">T</t>
  </si>
  <si>
    <t xml:space="preserve">Total Investments as at 31 March</t>
  </si>
  <si>
    <t xml:space="preserve">S</t>
  </si>
  <si>
    <t xml:space="preserve">Supporting inputs</t>
  </si>
  <si>
    <t xml:space="preserve">S1</t>
  </si>
  <si>
    <t xml:space="preserve">Number of banks / financial institutions in which funds are invested (input)</t>
  </si>
  <si>
    <t xml:space="preserve">S2</t>
  </si>
  <si>
    <t xml:space="preserve">Investment income earned during the year (interest, dividends, gains) (input)</t>
  </si>
  <si>
    <t xml:space="preserve">S3</t>
  </si>
  <si>
    <t xml:space="preserve">Total investments as per audited Balance Sheet (input – for verification)</t>
  </si>
  <si>
    <t xml:space="preserve">S4</t>
  </si>
  <si>
    <t xml:space="preserve">P</t>
  </si>
  <si>
    <t xml:space="preserve">Portfolio share by category (auto-calculated)</t>
  </si>
  <si>
    <t xml:space="preserve">Share – Fixed deposits with scheduled banks</t>
  </si>
  <si>
    <t xml:space="preserve">Share – Government securities / treasury bills / RBI bonds</t>
  </si>
  <si>
    <t xml:space="preserve">Share – PSU / public financial institution bonds &amp; deposits</t>
  </si>
  <si>
    <t xml:space="preserve">Share – Debt mutual funds / other approved instruments</t>
  </si>
  <si>
    <t xml:space="preserve">Share – Post office / other permitted deposits</t>
  </si>
  <si>
    <t xml:space="preserve">Share – Others (specify in Remarks)</t>
  </si>
  <si>
    <t xml:space="preserve">Filling rules: (1) Enter holdings as at 31 March (book value as per audited Balance Sheet) in cream cells. (2) Classify each investment in one category only. (3) Number of banks counts distinct banks / institutions across all categories. (4) Investment income must agree with the figure reported as revenue income in Metric 4.2. (5) Refer to Sheet 2, G6.</t>
  </si>
  <si>
    <t xml:space="preserve">SHEET 5 – FINANCIAL SUSTAINABILITY STRATEGIES &amp; POLICIES</t>
  </si>
  <si>
    <t xml:space="preserve">Describe each strategy actually followed by the University, the body that approved it and the date, and where the evidence is filed. Select status from the drop-down. Grey italic guidance text in column D shows what to write – replace it with the University's own description. These descriptions also serve as the qualitative narrative for Metric 4.3.</t>
  </si>
  <si>
    <t xml:space="preserve">Description (what the University does)</t>
  </si>
  <si>
    <t xml:space="preserve">Approved by (Body)</t>
  </si>
  <si>
    <t xml:space="preserve">Date of approval</t>
  </si>
  <si>
    <t xml:space="preserve">Status</t>
  </si>
  <si>
    <t xml:space="preserve">Evidence reference / file</t>
  </si>
  <si>
    <t xml:space="preserve">Corpus / Endowment Fund policy
[Option (a)]</t>
  </si>
  <si>
    <t xml:space="preserve">State the purpose of the corpus, rules for preserving principal, sources of additions and conditions for withdrawal</t>
  </si>
  <si>
    <t xml:space="preserve">Planned</t>
  </si>
  <si>
    <t xml:space="preserve">Annual transfer of surplus to corpus
[Option (a)]</t>
  </si>
  <si>
    <t xml:space="preserve">State the % or amount of operating surplus transferred to corpus each year and the resolution</t>
  </si>
  <si>
    <t xml:space="preserve">Sponsoring-body / Trust contribution to corpus
[Option (a)]</t>
  </si>
  <si>
    <t xml:space="preserve">State the commitment of the sponsoring body and amounts contributed</t>
  </si>
  <si>
    <t xml:space="preserve">Endowments &amp; donations mobilisation
[Option (a)]</t>
  </si>
  <si>
    <t xml:space="preserve">Alumni, industry, CSR and philanthropic endowments; endowment chairs and scholarships</t>
  </si>
  <si>
    <t xml:space="preserve">Statutory endowment fund compliance
[Option (a)]</t>
  </si>
  <si>
    <t xml:space="preserve">Endowment fund required under the applicable State Private Universities Act / regulator norms, if applicable</t>
  </si>
  <si>
    <t xml:space="preserve">Investment Policy
[Option (b)]</t>
  </si>
  <si>
    <t xml:space="preserve">Permitted instruments, limits per instrument and per bank, credit-rating criteria, approval hierarchy</t>
  </si>
  <si>
    <t xml:space="preserve">Spread across banks and instruments
[Option (b)]</t>
  </si>
  <si>
    <t xml:space="preserve">Number of banks, mix of FDs, government securities, bonds etc.; maximum exposure limits</t>
  </si>
  <si>
    <t xml:space="preserve">Periodic review of investments
[Option (b)]</t>
  </si>
  <si>
    <t xml:space="preserve">Finance Committee / Investment Committee review frequency and decisions</t>
  </si>
  <si>
    <t xml:space="preserve">Diversification of income sources
[Supporting strategy]</t>
  </si>
  <si>
    <t xml:space="preserve">Consultancy, training, research grants, executive programmes, CSR, alumni giving – reduces fee dependency (link to Metric 4.2)</t>
  </si>
  <si>
    <t xml:space="preserve">Cost optimisation &amp; efficiency
[Supporting strategy]</t>
  </si>
  <si>
    <t xml:space="preserve">Energy savings, centralised procurement, shared facilities</t>
  </si>
  <si>
    <t xml:space="preserve">Contingency / sinking fund
[Supporting strategy]</t>
  </si>
  <si>
    <t xml:space="preserve">Reserve for loan repayment, major repairs or emergencies</t>
  </si>
  <si>
    <t xml:space="preserve">Strategies Implemented (count)</t>
  </si>
  <si>
    <t xml:space="preserve">SHEET 6 – SUMMARY, OPTION COMPLIANCE &amp; INDICATORS</t>
  </si>
  <si>
    <t xml:space="preserve">This sheet is fully formula-driven from Sheets 3, 4 and 5 – do not type here. Section A shows whether options (a) and (b) can be claimed on the NAAC portal. Sections B and C give the indicators that demonstrate the strength of each strategy.</t>
  </si>
  <si>
    <t xml:space="preserve">A.  NAAC OPTION COMPLIANCE (ASSESSMENT PERIOD FY 2023-24 TO 2025-26)</t>
  </si>
  <si>
    <t xml:space="preserve">Status for NAAC</t>
  </si>
  <si>
    <t xml:space="preserve">Basis</t>
  </si>
  <si>
    <t xml:space="preserve">(a)</t>
  </si>
  <si>
    <t xml:space="preserve">Closing corpus (FY 2025-26) &gt; 0 and additions in 3 years</t>
  </si>
  <si>
    <t xml:space="preserve">(b)</t>
  </si>
  <si>
    <t xml:space="preserve">≥ 2 instrument categories at 31 Mar 2026</t>
  </si>
  <si>
    <t xml:space="preserve">Options fulfilled (out of 2)</t>
  </si>
  <si>
    <t xml:space="preserve">B.  OPTION (a) – CORPUS INDICATORS (INR LAKHS)</t>
  </si>
  <si>
    <t xml:space="preserve">NAAC 3-Yr</t>
  </si>
  <si>
    <t xml:space="preserve">Opening Corpus (1 April)</t>
  </si>
  <si>
    <t xml:space="preserve">Additions during the year</t>
  </si>
  <si>
    <t xml:space="preserve">Withdrawals during the year</t>
  </si>
  <si>
    <t xml:space="preserve">Closing Corpus (31 March)</t>
  </si>
  <si>
    <t xml:space="preserve">Corpus Growth % (year-on-year)</t>
  </si>
  <si>
    <t xml:space="preserve">B6</t>
  </si>
  <si>
    <t xml:space="preserve">Months of Operating Cover (Closing Corpus ÷ monthly revenue expenditure)</t>
  </si>
  <si>
    <t xml:space="preserve">B7</t>
  </si>
  <si>
    <t xml:space="preserve">Interpretation – operating cover (indicative)</t>
  </si>
  <si>
    <t xml:space="preserve">Note: NAAC 3-Yr growth = growth from closing FY 2022-23 to closing FY 2025-26.</t>
  </si>
  <si>
    <t xml:space="preserve">C.  OPTION (b) – INVESTMENT DIVERSIFICATION INDICATORS</t>
  </si>
  <si>
    <t xml:space="preserve">Total Investments as at 31 March (INR Lakhs)</t>
  </si>
  <si>
    <t xml:space="preserve">Number of instrument categories held</t>
  </si>
  <si>
    <t xml:space="preserve">Number of banks / institutions</t>
  </si>
  <si>
    <t xml:space="preserve">C4</t>
  </si>
  <si>
    <t xml:space="preserve">Largest category share % (concentration)</t>
  </si>
  <si>
    <t xml:space="preserve">C5</t>
  </si>
  <si>
    <t xml:space="preserve">Diversification Index  (1 – Σ share²)</t>
  </si>
  <si>
    <t xml:space="preserve">C6</t>
  </si>
  <si>
    <t xml:space="preserve">Interpretation – diversification (indicative)</t>
  </si>
  <si>
    <t xml:space="preserve">C7</t>
  </si>
  <si>
    <t xml:space="preserve">Option (b) met in the year? (≥ 2 categories)</t>
  </si>
  <si>
    <t xml:space="preserve">C8</t>
  </si>
  <si>
    <t xml:space="preserve">Investment income (INR Lakhs)</t>
  </si>
  <si>
    <t xml:space="preserve">C9</t>
  </si>
  <si>
    <t xml:space="preserve">Investment Yield % (income ÷ year-end investments)</t>
  </si>
  <si>
    <t xml:space="preserve">C10</t>
  </si>
  <si>
    <t xml:space="preserve">Investments as multiple of Closing Corpus</t>
  </si>
  <si>
    <t xml:space="preserve">D.  SUPPORTING STRATEGIES (FROM SHEET 5)</t>
  </si>
  <si>
    <t xml:space="preserve">D1</t>
  </si>
  <si>
    <t xml:space="preserve">Strategies implemented (count)</t>
  </si>
  <si>
    <t xml:space="preserve">E.  CHART – CLOSING CORPUS AND TOTAL INVESTMENTS</t>
  </si>
  <si>
    <t xml:space="preserve">Reading the results: Claim option (a) when a designated corpus exists in the audited Balance Sheet, and preferably show that it has grown during the assessment period. Claim option (b) when investments are spread over two or more instrument categories under an approved investment policy. A rising corpus, more than six months of operating cover and a diversification index above 0.60 together present a strong sustainability case.</t>
  </si>
  <si>
    <t xml:space="preserve">SHEET 7 – WORKED EXAMPLE (HYPOTHETICAL FIGURES – FOR UNDERSTANDING ONLY)</t>
  </si>
  <si>
    <t xml:space="preserve">The figures below are purely illustrative and do NOT represent any institution's accounts. Revenue expenditure figures are the same as in the Metric 4.2 worked example, so the three workbooks tell one consistent story.</t>
  </si>
  <si>
    <t xml:space="preserve">Step 1 – Corpus movement</t>
  </si>
  <si>
    <t xml:space="preserve">Opening Corpus</t>
  </si>
  <si>
    <t xml:space="preserve">Transfer from operating surplus</t>
  </si>
  <si>
    <t xml:space="preserve">Trust / sponsoring-body contribution</t>
  </si>
  <si>
    <t xml:space="preserve">Endowments &amp; donations</t>
  </si>
  <si>
    <t xml:space="preserve">Interest retained in corpus</t>
  </si>
  <si>
    <t xml:space="preserve">Withdrawals (scholarships / capital works)</t>
  </si>
  <si>
    <t xml:space="preserve">Closing Corpus = A + B – C</t>
  </si>
  <si>
    <t xml:space="preserve">Revenue expenditure (from 4.2 example)</t>
  </si>
  <si>
    <t xml:space="preserve">F</t>
  </si>
  <si>
    <t xml:space="preserve">Months of operating cover</t>
  </si>
  <si>
    <t xml:space="preserve">Step 2 – Investment portfolio as at 31 March</t>
  </si>
  <si>
    <t xml:space="preserve">Fixed deposits (scheduled banks)</t>
  </si>
  <si>
    <t xml:space="preserve">PSU bonds</t>
  </si>
  <si>
    <t xml:space="preserve">Debt mutual funds</t>
  </si>
  <si>
    <t xml:space="preserve">Post office / others</t>
  </si>
  <si>
    <t xml:space="preserve">Total Investments</t>
  </si>
  <si>
    <t xml:space="preserve">Investment income</t>
  </si>
  <si>
    <t xml:space="preserve">Step 3 – Results</t>
  </si>
  <si>
    <t xml:space="preserve">Corpus growth % (year-on-year)</t>
  </si>
  <si>
    <t xml:space="preserve">Number of instrument categories</t>
  </si>
  <si>
    <t xml:space="preserve">c</t>
  </si>
  <si>
    <t xml:space="preserve">Largest category share %</t>
  </si>
  <si>
    <t xml:space="preserve">d</t>
  </si>
  <si>
    <t xml:space="preserve">Diversification Index (1 – Σ share²)</t>
  </si>
  <si>
    <t xml:space="preserve">e</t>
  </si>
  <si>
    <t xml:space="preserve">Investment yield %</t>
  </si>
  <si>
    <t xml:space="preserve">f</t>
  </si>
  <si>
    <t xml:space="preserve">Option (a) / (b) status</t>
  </si>
  <si>
    <t xml:space="preserve">How to read this example</t>
  </si>
  <si>
    <t xml:space="preserve">1.  Option (a): The corpus grew from 2,890 Lakhs (31 Mar 2023) to 7,190 Lakhs (31 Mar 2026) – about 2.5 times – mainly through annual transfer of operating surplus. At 31 Mar 2026 it covers about 9.9 months of running costs (Strong). Claim: 'YES – Corpus created / strengthened'.
2.  Option (b): In FY 2022-23 funds were in only two categories, mostly FDs (94% concentration). By FY 2025-26 they are spread across five categories and six banks; FD share fell to about 56% and the diversification index rose from about 0.11 to about 0.62 (well diversified). Claim: 'YES'.
3.  Investment yield of about 7% shows the funds are productively deployed; this income appears as revenue income in Metric 4.2.
4.  In the narrative, link the story: operating surplus (Metric 4.2) → transfer to corpus (4.3a) → invested across instruments under an approved policy (4.3b) → investments reviewed by Finance Committee (Metric 4.4).</t>
  </si>
  <si>
    <t xml:space="preserve">SHEET 8 – SUPPORTING DOCUMENT CHECKLIST</t>
  </si>
  <si>
    <t xml:space="preserve">Select the status for each document and financial year (Available / Pending / Not Applicable). Items 1 and 2 are mandatory as per NAAC; the rest are recommended evidence for Data Validation &amp; Verification (DVV).</t>
  </si>
  <si>
    <t xml:space="preserve">Document</t>
  </si>
  <si>
    <t xml:space="preserve">Purpose / What to highlight</t>
  </si>
  <si>
    <t xml:space="preserve">Responsibility</t>
  </si>
  <si>
    <t xml:space="preserve">File name / Link / Remarks</t>
  </si>
  <si>
    <t xml:space="preserve">Audited Income &amp; Expenditure statement and Balance Sheet – certified by CA (MANDATORY)</t>
  </si>
  <si>
    <t xml:space="preserve">Highlight Corpus Fund and Investments schedules</t>
  </si>
  <si>
    <t xml:space="preserve">Pending</t>
  </si>
  <si>
    <t xml:space="preserve">Finance Officer</t>
  </si>
  <si>
    <t xml:space="preserve">CA-certified audit extract of corpus and investments (MANDATORY – Sheet 9 format)</t>
  </si>
  <si>
    <t xml:space="preserve">Must match Sheet 6</t>
  </si>
  <si>
    <t xml:space="preserve">Corpus / Endowment Fund policy</t>
  </si>
  <si>
    <t xml:space="preserve">Purpose, preservation of principal, additions and withdrawals rules</t>
  </si>
  <si>
    <t xml:space="preserve">Resolutions for transfer of surplus / contribution to corpus</t>
  </si>
  <si>
    <t xml:space="preserve">Amount and date for each FY</t>
  </si>
  <si>
    <t xml:space="preserve">Registrar / Finance</t>
  </si>
  <si>
    <t xml:space="preserve">Investment Policy approved by Finance Committee / BOM</t>
  </si>
  <si>
    <t xml:space="preserve">Permitted instruments, limits, review</t>
  </si>
  <si>
    <t xml:space="preserve">FD receipts / bank confirmations as at 31 March</t>
  </si>
  <si>
    <t xml:space="preserve">Supports investment schedule</t>
  </si>
  <si>
    <t xml:space="preserve">Holding / demat statements for securities, bonds, mutual funds</t>
  </si>
  <si>
    <t xml:space="preserve">Finance Committee / Investment Committee minutes</t>
  </si>
  <si>
    <t xml:space="preserve">Review of corpus and investments</t>
  </si>
  <si>
    <t xml:space="preserve">Registrar</t>
  </si>
  <si>
    <t xml:space="preserve">Statutory endowment fund compliance (if applicable)</t>
  </si>
  <si>
    <t xml:space="preserve">Proof of required endowment</t>
  </si>
  <si>
    <t xml:space="preserve">Endowment / donation deeds</t>
  </si>
  <si>
    <t xml:space="preserve">Corpus additions from endowments</t>
  </si>
  <si>
    <t xml:space="preserve">Explanatory note (if option not fully met or no additions)</t>
  </si>
  <si>
    <t xml:space="preserve">Reasons and plan</t>
  </si>
  <si>
    <t xml:space="preserve">IQAC &amp; Finance Officer</t>
  </si>
  <si>
    <t xml:space="preserve">Documents Available (count)</t>
  </si>
  <si>
    <t xml:space="preserve">CERTIFICATE BY CHARTERED ACCOUNTANT</t>
  </si>
  <si>
    <t xml:space="preserve">(To be printed on the letterhead of the Chartered Accountant firm)</t>
  </si>
  <si>
    <t xml:space="preserve">Ref. No.: ____________________                                                                 Date: ____________________</t>
  </si>
  <si>
    <t xml:space="preserve">Sub.: Certificate of Corpus Fund and Investments of [University Name] for NAAC Metric 4.3 – Sustainability (Binary Accreditation Framework) – Financial Years 2022-23 to 2025-26</t>
  </si>
  <si>
    <t xml:space="preserve">This is to certify that we have verified the audited Balance Sheets, Income &amp; Expenditure Accounts and related schedules of [University Name] for the financial years mentioned below. Based on our verification, the movement of the Corpus / Endowment Fund and the investments held as at 31 March of each year are as under:</t>
  </si>
  <si>
    <t xml:space="preserve">S. No.</t>
  </si>
  <si>
    <t xml:space="preserve">Financial Year</t>
  </si>
  <si>
    <t xml:space="preserve">Additions to Corpus
(INR Lakhs)</t>
  </si>
  <si>
    <t xml:space="preserve">Closing Corpus
(INR Lakhs)</t>
  </si>
  <si>
    <t xml:space="preserve">Total Investments
(INR Lakhs)</t>
  </si>
  <si>
    <t xml:space="preserve">No. of Investment Categories</t>
  </si>
  <si>
    <t xml:space="preserve">We further certify that (i) the Corpus / Endowment Fund is shown separately in the audited Balance Sheets and its closing balances agree with the figures above; (ii) the investments are held in the name of the University / sponsoring body for the University and are classified as per the investment schedule of the audited accounts; and (iii) the relevant components have been highlighted in the audited statements enclosed herewith.</t>
  </si>
  <si>
    <t xml:space="preserve">For ____________________ (CA Firm Name)</t>
  </si>
  <si>
    <t xml:space="preserve">Countersigned by</t>
  </si>
  <si>
    <t xml:space="preserve">Chartered Accountants, FRN: __________</t>
  </si>
  <si>
    <t xml:space="preserve">Registrar / Finance Officer</t>
  </si>
  <si>
    <t xml:space="preserve">[University Name]</t>
  </si>
  <si>
    <t xml:space="preserve">(Signature &amp; Seal)</t>
  </si>
  <si>
    <t xml:space="preserve">Name of Partner: ____________________</t>
  </si>
  <si>
    <t xml:space="preserve">Membership No.: __________   UDIN: __________</t>
  </si>
  <si>
    <t xml:space="preserve">Place: [City]                         Enclosures: Highlighted audited Balance Sheets and I&amp;E statements for FY 2022-23, 2023-24, 2024-25 and 2025-26</t>
  </si>
</sst>
</file>

<file path=xl/styles.xml><?xml version="1.0" encoding="utf-8"?>
<styleSheet xmlns="http://schemas.openxmlformats.org/spreadsheetml/2006/main">
  <numFmts count="8">
    <numFmt numFmtId="164" formatCode="General"/>
    <numFmt numFmtId="165" formatCode="#,##0.00;\(#,##0.00\);\-"/>
    <numFmt numFmtId="166" formatCode="0;\(0\);\-"/>
    <numFmt numFmtId="167" formatCode="0.0%;\(0.0%\);\-"/>
    <numFmt numFmtId="168" formatCode="0.0&quot; months&quot;;\(0.0&quot; months)&quot;;\-"/>
    <numFmt numFmtId="169" formatCode="0.00;\(0.00\);\-"/>
    <numFmt numFmtId="170" formatCode="@"/>
    <numFmt numFmtId="171" formatCode="0.00\x;\(0.00&quot;x)&quot;;\-"/>
  </numFmts>
  <fonts count="40">
    <font>
      <sz val="11"/>
      <color theme="1"/>
      <name val="Calibri"/>
      <family val="2"/>
      <charset val="1"/>
    </font>
    <font>
      <sz val="10"/>
      <name val="Arial"/>
      <family val="0"/>
    </font>
    <font>
      <sz val="10"/>
      <name val="Arial"/>
      <family val="0"/>
    </font>
    <font>
      <sz val="10"/>
      <name val="Arial"/>
      <family val="0"/>
    </font>
    <font>
      <b val="true"/>
      <sz val="24"/>
      <color rgb="FFC9A227"/>
      <name val="Calibri"/>
      <family val="0"/>
      <charset val="1"/>
    </font>
    <font>
      <b val="true"/>
      <sz val="18"/>
      <color rgb="FF1F3864"/>
      <name val="Calibri"/>
      <family val="0"/>
      <charset val="1"/>
    </font>
    <font>
      <b val="true"/>
      <sz val="16"/>
      <color rgb="FF1F3864"/>
      <name val="Calibri"/>
      <family val="0"/>
      <charset val="1"/>
    </font>
    <font>
      <b val="true"/>
      <sz val="20"/>
      <color rgb="FF1F3864"/>
      <name val="Calibri"/>
      <family val="0"/>
      <charset val="1"/>
    </font>
    <font>
      <b val="true"/>
      <sz val="16"/>
      <color rgb="FFC9A227"/>
      <name val="Calibri"/>
      <family val="0"/>
      <charset val="1"/>
    </font>
    <font>
      <i val="true"/>
      <sz val="14"/>
      <color rgb="FF404040"/>
      <name val="Calibri"/>
      <family val="0"/>
      <charset val="1"/>
    </font>
    <font>
      <b val="true"/>
      <sz val="16"/>
      <color rgb="FFFFFFFF"/>
      <name val="Calibri"/>
      <family val="0"/>
      <charset val="1"/>
    </font>
    <font>
      <sz val="14"/>
      <color rgb="FF000000"/>
      <name val="Calibri"/>
      <family val="0"/>
      <charset val="1"/>
    </font>
    <font>
      <b val="true"/>
      <sz val="14"/>
      <color rgb="FFFFFFFF"/>
      <name val="Calibri"/>
      <family val="0"/>
      <charset val="1"/>
    </font>
    <font>
      <b val="true"/>
      <sz val="14"/>
      <color rgb="FF0000FF"/>
      <name val="Calibri"/>
      <family val="0"/>
      <charset val="1"/>
    </font>
    <font>
      <b val="true"/>
      <sz val="14"/>
      <color rgb="FF000000"/>
      <name val="Calibri"/>
      <family val="0"/>
      <charset val="1"/>
    </font>
    <font>
      <b val="true"/>
      <sz val="14"/>
      <color rgb="FF008000"/>
      <name val="Calibri"/>
      <family val="0"/>
      <charset val="1"/>
    </font>
    <font>
      <b val="true"/>
      <sz val="14"/>
      <color rgb="FFC9A227"/>
      <name val="Calibri"/>
      <family val="0"/>
      <charset val="1"/>
    </font>
    <font>
      <i val="true"/>
      <sz val="12"/>
      <color rgb="FF595959"/>
      <name val="Calibri"/>
      <family val="0"/>
      <charset val="1"/>
    </font>
    <font>
      <i val="true"/>
      <sz val="12"/>
      <color rgb="FFC00000"/>
      <name val="Calibri"/>
      <family val="0"/>
      <charset val="1"/>
    </font>
    <font>
      <b val="true"/>
      <sz val="20"/>
      <color rgb="FFC9A227"/>
      <name val="Calibri"/>
      <family val="0"/>
      <charset val="1"/>
    </font>
    <font>
      <sz val="14"/>
      <color rgb="FF0000FF"/>
      <name val="Calibri"/>
      <family val="0"/>
      <charset val="1"/>
    </font>
    <font>
      <i val="true"/>
      <sz val="13"/>
      <color rgb="FF000000"/>
      <name val="Calibri"/>
      <family val="0"/>
      <charset val="1"/>
    </font>
    <font>
      <b val="true"/>
      <sz val="14"/>
      <color rgb="FF1F3864"/>
      <name val="Calibri"/>
      <family val="0"/>
      <charset val="1"/>
    </font>
    <font>
      <b val="true"/>
      <sz val="15"/>
      <color rgb="FFC9A227"/>
      <name val="Calibri"/>
      <family val="0"/>
      <charset val="1"/>
    </font>
    <font>
      <b val="true"/>
      <sz val="15"/>
      <color rgb="FFFFFFFF"/>
      <name val="Calibri"/>
      <family val="0"/>
      <charset val="1"/>
    </font>
    <font>
      <b val="true"/>
      <sz val="13"/>
      <color rgb="FF1F3864"/>
      <name val="Calibri"/>
      <family val="0"/>
      <charset val="1"/>
    </font>
    <font>
      <i val="true"/>
      <sz val="13"/>
      <color rgb="FF404040"/>
      <name val="Calibri"/>
      <family val="0"/>
      <charset val="1"/>
    </font>
    <font>
      <i val="true"/>
      <sz val="13"/>
      <color rgb="FF808080"/>
      <name val="Calibri"/>
      <family val="0"/>
      <charset val="1"/>
    </font>
    <font>
      <b val="true"/>
      <sz val="16"/>
      <color rgb="FF000000"/>
      <name val="Calibri"/>
      <family val="0"/>
      <charset val="1"/>
    </font>
    <font>
      <b val="true"/>
      <sz val="15"/>
      <color rgb="FF1F3864"/>
      <name val="Calibri"/>
      <family val="0"/>
      <charset val="1"/>
    </font>
    <font>
      <i val="true"/>
      <sz val="12"/>
      <color rgb="FF000000"/>
      <name val="Calibri"/>
      <family val="0"/>
      <charset val="1"/>
    </font>
    <font>
      <sz val="14"/>
      <color rgb="FF008000"/>
      <name val="Calibri"/>
      <family val="0"/>
      <charset val="1"/>
    </font>
    <font>
      <b val="true"/>
      <sz val="15"/>
      <color rgb="FF008000"/>
      <name val="Calibri"/>
      <family val="0"/>
      <charset val="1"/>
    </font>
    <font>
      <b val="true"/>
      <sz val="18"/>
      <color rgb="FF000000"/>
      <name val="Calibri"/>
      <family val="2"/>
    </font>
    <font>
      <sz val="10"/>
      <color rgb="FF000000"/>
      <name val="Calibri"/>
      <family val="2"/>
    </font>
    <font>
      <b val="true"/>
      <sz val="10"/>
      <color rgb="FF000000"/>
      <name val="Calibri"/>
      <family val="2"/>
    </font>
    <font>
      <b val="true"/>
      <sz val="18"/>
      <color rgb="FFC9A227"/>
      <name val="Calibri"/>
      <family val="0"/>
      <charset val="1"/>
    </font>
    <font>
      <b val="true"/>
      <sz val="14"/>
      <color rgb="FFC00000"/>
      <name val="Calibri"/>
      <family val="0"/>
      <charset val="1"/>
    </font>
    <font>
      <i val="true"/>
      <sz val="13"/>
      <color rgb="FF595959"/>
      <name val="Calibri"/>
      <family val="0"/>
      <charset val="1"/>
    </font>
    <font>
      <sz val="13"/>
      <color rgb="FF404040"/>
      <name val="Calibri"/>
      <family val="0"/>
      <charset val="1"/>
    </font>
  </fonts>
  <fills count="8">
    <fill>
      <patternFill patternType="none"/>
    </fill>
    <fill>
      <patternFill patternType="gray125"/>
    </fill>
    <fill>
      <patternFill patternType="solid">
        <fgColor rgb="FF1F3864"/>
        <bgColor rgb="FF333399"/>
      </patternFill>
    </fill>
    <fill>
      <patternFill patternType="solid">
        <fgColor rgb="FFFFF4D6"/>
        <bgColor rgb="FFFFFBE6"/>
      </patternFill>
    </fill>
    <fill>
      <patternFill patternType="solid">
        <fgColor rgb="FFF2F2F2"/>
        <bgColor rgb="FFFFFBE6"/>
      </patternFill>
    </fill>
    <fill>
      <patternFill patternType="solid">
        <fgColor rgb="FFFFFBE6"/>
        <bgColor rgb="FFFFF4D6"/>
      </patternFill>
    </fill>
    <fill>
      <patternFill patternType="solid">
        <fgColor rgb="FFDCE3F0"/>
        <bgColor rgb="FFD9D9D9"/>
      </patternFill>
    </fill>
    <fill>
      <patternFill patternType="solid">
        <fgColor rgb="FFFFFFFF"/>
        <bgColor rgb="FFFFFBE6"/>
      </patternFill>
    </fill>
  </fills>
  <borders count="4">
    <border diagonalUp="false" diagonalDown="false">
      <left/>
      <right/>
      <top/>
      <bottom/>
      <diagonal/>
    </border>
    <border diagonalUp="false" diagonalDown="false">
      <left/>
      <right/>
      <top/>
      <bottom style="thick">
        <color rgb="FFC9A227"/>
      </bottom>
      <diagonal/>
    </border>
    <border diagonalUp="false" diagonalDown="false">
      <left style="thin">
        <color rgb="FF8C8C8C"/>
      </left>
      <right style="thin">
        <color rgb="FF8C8C8C"/>
      </right>
      <top style="thin">
        <color rgb="FF8C8C8C"/>
      </top>
      <bottom style="thin">
        <color rgb="FF8C8C8C"/>
      </bottom>
      <diagonal/>
    </border>
    <border diagonalUp="false" diagonalDown="false">
      <left style="thin">
        <color rgb="FF8C8C8C"/>
      </left>
      <right/>
      <top style="thin">
        <color rgb="FF8C8C8C"/>
      </top>
      <bottom style="thin">
        <color rgb="FF8C8C8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2" fillId="2" borderId="2"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general" vertical="top" textRotation="0" wrapText="true" indent="0" shrinkToFit="false"/>
      <protection locked="true" hidden="false"/>
    </xf>
    <xf numFmtId="164" fontId="11" fillId="4" borderId="2" xfId="0" applyFont="true" applyBorder="true" applyAlignment="true" applyProtection="false">
      <alignment horizontal="general" vertical="top" textRotation="0" wrapText="true" indent="0" shrinkToFit="false"/>
      <protection locked="true" hidden="false"/>
    </xf>
    <xf numFmtId="164" fontId="13" fillId="5" borderId="2" xfId="0" applyFont="true" applyBorder="true" applyAlignment="true" applyProtection="false">
      <alignment horizontal="left" vertical="center" textRotation="0" wrapText="true" indent="0" shrinkToFit="false"/>
      <protection locked="true" hidden="false"/>
    </xf>
    <xf numFmtId="164" fontId="11" fillId="0" borderId="3" xfId="0" applyFont="true" applyBorder="true" applyAlignment="true" applyProtection="false">
      <alignment horizontal="left" vertical="center" textRotation="0" wrapText="true" indent="0" shrinkToFit="false"/>
      <protection locked="true" hidden="false"/>
    </xf>
    <xf numFmtId="164" fontId="14" fillId="6" borderId="2" xfId="0" applyFont="true" applyBorder="true" applyAlignment="true" applyProtection="false">
      <alignment horizontal="left" vertical="center" textRotation="0" wrapText="true" indent="0" shrinkToFit="false"/>
      <protection locked="true" hidden="false"/>
    </xf>
    <xf numFmtId="164" fontId="15" fillId="7" borderId="2" xfId="0" applyFont="true" applyBorder="true" applyAlignment="true" applyProtection="false">
      <alignment horizontal="left" vertical="center" textRotation="0" wrapText="true" indent="0" shrinkToFit="false"/>
      <protection locked="true" hidden="false"/>
    </xf>
    <xf numFmtId="164" fontId="16" fillId="2" borderId="2" xfId="0" applyFont="true" applyBorder="true" applyAlignment="true" applyProtection="false">
      <alignment horizontal="left" vertical="center" textRotation="0" wrapText="true" indent="0" shrinkToFit="false"/>
      <protection locked="true" hidden="false"/>
    </xf>
    <xf numFmtId="164" fontId="17" fillId="0" borderId="0"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true" applyAlignment="true" applyProtection="false">
      <alignment horizontal="center" vertical="center" textRotation="0" wrapText="true" indent="0" shrinkToFit="false"/>
      <protection locked="true" hidden="false"/>
    </xf>
    <xf numFmtId="164" fontId="19" fillId="2" borderId="0" xfId="0" applyFont="true" applyBorder="true" applyAlignment="true" applyProtection="false">
      <alignment horizontal="center" vertical="center" textRotation="0" wrapText="true" indent="0" shrinkToFit="false"/>
      <protection locked="true" hidden="false"/>
    </xf>
    <xf numFmtId="164" fontId="11" fillId="3" borderId="0" xfId="0" applyFont="true" applyBorder="true" applyAlignment="true" applyProtection="false">
      <alignment horizontal="general" vertical="top" textRotation="0" wrapText="true" indent="0" shrinkToFit="false"/>
      <protection locked="true" hidden="false"/>
    </xf>
    <xf numFmtId="164" fontId="14" fillId="0" borderId="2" xfId="0" applyFont="true" applyBorder="true" applyAlignment="true" applyProtection="false">
      <alignment horizontal="center" vertical="center" textRotation="0" wrapText="true" indent="0" shrinkToFit="false"/>
      <protection locked="true" hidden="false"/>
    </xf>
    <xf numFmtId="164" fontId="14" fillId="0" borderId="2" xfId="0" applyFont="true" applyBorder="true" applyAlignment="true" applyProtection="false">
      <alignment horizontal="general" vertical="top" textRotation="0" wrapText="true" indent="0" shrinkToFit="false"/>
      <protection locked="true" hidden="false"/>
    </xf>
    <xf numFmtId="165" fontId="14" fillId="6" borderId="2" xfId="0" applyFont="true" applyBorder="true" applyAlignment="true" applyProtection="false">
      <alignment horizontal="right" vertical="center" textRotation="0" wrapText="true" indent="0" shrinkToFit="false"/>
      <protection locked="true" hidden="false"/>
    </xf>
    <xf numFmtId="165" fontId="20" fillId="5" borderId="2" xfId="0" applyFont="true" applyBorder="true" applyAlignment="false" applyProtection="false">
      <alignment horizontal="general" vertical="bottom" textRotation="0" wrapText="false" indent="0" shrinkToFit="false"/>
      <protection locked="true" hidden="false"/>
    </xf>
    <xf numFmtId="164" fontId="21" fillId="0" borderId="2" xfId="0" applyFont="true" applyBorder="true" applyAlignment="true" applyProtection="false">
      <alignment horizontal="center" vertical="center" textRotation="0" wrapText="true" indent="0" shrinkToFit="false"/>
      <protection locked="true" hidden="false"/>
    </xf>
    <xf numFmtId="164" fontId="20" fillId="5" borderId="2" xfId="0" applyFont="true" applyBorder="true" applyAlignment="true" applyProtection="false">
      <alignment horizontal="general" vertical="top" textRotation="0" wrapText="true" indent="0" shrinkToFit="false"/>
      <protection locked="true" hidden="false"/>
    </xf>
    <xf numFmtId="164" fontId="22" fillId="3" borderId="2" xfId="0" applyFont="true" applyBorder="true" applyAlignment="true" applyProtection="false">
      <alignment horizontal="center" vertical="center" textRotation="0" wrapText="true" indent="0" shrinkToFit="false"/>
      <protection locked="true" hidden="false"/>
    </xf>
    <xf numFmtId="164" fontId="22" fillId="3" borderId="2" xfId="0" applyFont="true" applyBorder="true" applyAlignment="false" applyProtection="false">
      <alignment horizontal="general" vertical="bottom" textRotation="0" wrapText="fals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5" fontId="11" fillId="6" borderId="2" xfId="0" applyFont="true" applyBorder="true" applyAlignment="true" applyProtection="false">
      <alignment horizontal="right"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23" fillId="2" borderId="2" xfId="0" applyFont="true" applyBorder="true" applyAlignment="false" applyProtection="false">
      <alignment horizontal="general" vertical="bottom" textRotation="0" wrapText="false" indent="0" shrinkToFit="false"/>
      <protection locked="true" hidden="false"/>
    </xf>
    <xf numFmtId="164" fontId="24" fillId="2" borderId="2" xfId="0" applyFont="true" applyBorder="true" applyAlignment="true" applyProtection="false">
      <alignment horizontal="general" vertical="top" textRotation="0" wrapText="true" indent="0" shrinkToFit="false"/>
      <protection locked="true" hidden="false"/>
    </xf>
    <xf numFmtId="165" fontId="24" fillId="2" borderId="2" xfId="0" applyFont="true" applyBorder="true" applyAlignment="false" applyProtection="false">
      <alignment horizontal="general" vertical="bottom"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4" fontId="25" fillId="3" borderId="2" xfId="0" applyFont="true" applyBorder="true" applyAlignment="true" applyProtection="false">
      <alignment horizontal="center" vertical="center" textRotation="0" wrapText="true" indent="0" shrinkToFit="false"/>
      <protection locked="true" hidden="false"/>
    </xf>
    <xf numFmtId="164" fontId="26" fillId="0" borderId="0" xfId="0" applyFont="true" applyBorder="true" applyAlignment="true" applyProtection="false">
      <alignment horizontal="general" vertical="top" textRotation="0" wrapText="true" indent="0" shrinkToFit="false"/>
      <protection locked="true" hidden="false"/>
    </xf>
    <xf numFmtId="166" fontId="20" fillId="5" borderId="2" xfId="0" applyFont="true" applyBorder="true" applyAlignment="false" applyProtection="false">
      <alignment horizontal="general" vertical="bottom" textRotation="0" wrapText="false" indent="0" shrinkToFit="false"/>
      <protection locked="true" hidden="false"/>
    </xf>
    <xf numFmtId="167" fontId="11" fillId="6" borderId="2" xfId="0" applyFont="true" applyBorder="true" applyAlignment="true" applyProtection="false">
      <alignment horizontal="right" vertical="center" textRotation="0" wrapText="true" indent="0" shrinkToFit="false"/>
      <protection locked="true" hidden="false"/>
    </xf>
    <xf numFmtId="164" fontId="11" fillId="0" borderId="2" xfId="0" applyFont="true" applyBorder="true" applyAlignment="true" applyProtection="false">
      <alignment horizontal="center" vertical="center" textRotation="0" wrapText="true" indent="0" shrinkToFit="false"/>
      <protection locked="true" hidden="false"/>
    </xf>
    <xf numFmtId="164" fontId="22" fillId="0" borderId="2" xfId="0" applyFont="true" applyBorder="true" applyAlignment="true" applyProtection="false">
      <alignment horizontal="general" vertical="top" textRotation="0" wrapText="true" indent="0" shrinkToFit="false"/>
      <protection locked="true" hidden="false"/>
    </xf>
    <xf numFmtId="164" fontId="27" fillId="5" borderId="2" xfId="0" applyFont="true" applyBorder="true" applyAlignment="true" applyProtection="false">
      <alignment horizontal="general" vertical="top" textRotation="0" wrapText="true" indent="0" shrinkToFit="false"/>
      <protection locked="true" hidden="false"/>
    </xf>
    <xf numFmtId="164" fontId="13" fillId="5" borderId="2" xfId="0" applyFont="true" applyBorder="true" applyAlignment="true" applyProtection="false">
      <alignment horizontal="center" vertical="center" textRotation="0" wrapText="true" indent="0" shrinkToFit="false"/>
      <protection locked="true" hidden="false"/>
    </xf>
    <xf numFmtId="164" fontId="12" fillId="2" borderId="2" xfId="0" applyFont="true" applyBorder="true" applyAlignment="false" applyProtection="false">
      <alignment horizontal="general" vertical="bottom" textRotation="0" wrapText="false" indent="0" shrinkToFit="false"/>
      <protection locked="true" hidden="false"/>
    </xf>
    <xf numFmtId="164" fontId="6" fillId="0" borderId="2" xfId="0" applyFont="true" applyBorder="true" applyAlignment="true" applyProtection="false">
      <alignment horizontal="center" vertical="center" textRotation="0" wrapText="true" indent="0" shrinkToFit="false"/>
      <protection locked="true" hidden="false"/>
    </xf>
    <xf numFmtId="164" fontId="28" fillId="0" borderId="2" xfId="0" applyFont="true" applyBorder="true" applyAlignment="false" applyProtection="false">
      <alignment horizontal="general" vertical="bottom" textRotation="0" wrapText="false" indent="0" shrinkToFit="false"/>
      <protection locked="true" hidden="false"/>
    </xf>
    <xf numFmtId="164" fontId="29" fillId="3" borderId="2" xfId="0" applyFont="true" applyBorder="true" applyAlignment="true" applyProtection="false">
      <alignment horizontal="center" vertical="center" textRotation="0" wrapText="true" indent="0" shrinkToFit="false"/>
      <protection locked="true" hidden="false"/>
    </xf>
    <xf numFmtId="164" fontId="30" fillId="0" borderId="2" xfId="0" applyFont="true" applyBorder="true" applyAlignment="true" applyProtection="false">
      <alignment horizontal="general" vertical="top" textRotation="0" wrapText="true" indent="0" shrinkToFit="false"/>
      <protection locked="true" hidden="false"/>
    </xf>
    <xf numFmtId="164" fontId="24" fillId="2" borderId="2" xfId="0" applyFont="true" applyBorder="true" applyAlignment="false" applyProtection="false">
      <alignment horizontal="general" vertical="bottom" textRotation="0" wrapText="false" indent="0" shrinkToFit="false"/>
      <protection locked="true" hidden="false"/>
    </xf>
    <xf numFmtId="164" fontId="8" fillId="2" borderId="2" xfId="0" applyFont="true" applyBorder="true" applyAlignment="true" applyProtection="false">
      <alignment horizontal="center" vertical="center" textRotation="0" wrapText="true" indent="0" shrinkToFit="false"/>
      <protection locked="true" hidden="false"/>
    </xf>
    <xf numFmtId="165" fontId="31" fillId="6" borderId="2" xfId="0" applyFont="true" applyBorder="true" applyAlignment="true" applyProtection="false">
      <alignment horizontal="right" vertical="center" textRotation="0" wrapText="true" indent="0" shrinkToFit="false"/>
      <protection locked="true" hidden="false"/>
    </xf>
    <xf numFmtId="165" fontId="11" fillId="6" borderId="2" xfId="0" applyFont="true" applyBorder="true" applyAlignment="true" applyProtection="false">
      <alignment horizontal="right" vertical="center" textRotation="0" wrapText="false" indent="0" shrinkToFit="false"/>
      <protection locked="true" hidden="false"/>
    </xf>
    <xf numFmtId="165" fontId="15" fillId="6" borderId="2" xfId="0" applyFont="true" applyBorder="true" applyAlignment="true" applyProtection="false">
      <alignment horizontal="right" vertical="center" textRotation="0" wrapText="true" indent="0" shrinkToFit="false"/>
      <protection locked="true" hidden="false"/>
    </xf>
    <xf numFmtId="165" fontId="14" fillId="6" borderId="2" xfId="0" applyFont="true" applyBorder="true" applyAlignment="true" applyProtection="false">
      <alignment horizontal="right" vertical="center" textRotation="0" wrapText="false" indent="0" shrinkToFit="false"/>
      <protection locked="true" hidden="false"/>
    </xf>
    <xf numFmtId="167" fontId="11" fillId="6" borderId="2" xfId="0" applyFont="true" applyBorder="true" applyAlignment="true" applyProtection="false">
      <alignment horizontal="right" vertical="center" textRotation="0" wrapText="false" indent="0" shrinkToFit="false"/>
      <protection locked="true" hidden="false"/>
    </xf>
    <xf numFmtId="168" fontId="14" fillId="6" borderId="2" xfId="0" applyFont="true" applyBorder="true" applyAlignment="true" applyProtection="false">
      <alignment horizontal="right" vertical="center" textRotation="0" wrapText="true" indent="0" shrinkToFit="false"/>
      <protection locked="true" hidden="false"/>
    </xf>
    <xf numFmtId="168" fontId="14" fillId="6" borderId="2" xfId="0" applyFont="true" applyBorder="true" applyAlignment="true" applyProtection="false">
      <alignment horizontal="right" vertical="center"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6" fontId="14" fillId="6" borderId="2" xfId="0" applyFont="true" applyBorder="true" applyAlignment="true" applyProtection="false">
      <alignment horizontal="right" vertical="center" textRotation="0" wrapText="true" indent="0" shrinkToFit="false"/>
      <protection locked="true" hidden="false"/>
    </xf>
    <xf numFmtId="166" fontId="14" fillId="6" borderId="2" xfId="0" applyFont="true" applyBorder="true" applyAlignment="true" applyProtection="false">
      <alignment horizontal="right" vertical="center" textRotation="0" wrapText="false" indent="0" shrinkToFit="false"/>
      <protection locked="true" hidden="false"/>
    </xf>
    <xf numFmtId="166" fontId="11" fillId="6" borderId="2" xfId="0" applyFont="true" applyBorder="true" applyAlignment="true" applyProtection="false">
      <alignment horizontal="right" vertical="center" textRotation="0" wrapText="true" indent="0" shrinkToFit="false"/>
      <protection locked="true" hidden="false"/>
    </xf>
    <xf numFmtId="166" fontId="11" fillId="6" borderId="2" xfId="0" applyFont="true" applyBorder="true" applyAlignment="true" applyProtection="false">
      <alignment horizontal="right" vertical="center" textRotation="0" wrapText="false" indent="0" shrinkToFit="false"/>
      <protection locked="true" hidden="false"/>
    </xf>
    <xf numFmtId="169" fontId="14" fillId="6" borderId="2" xfId="0" applyFont="true" applyBorder="true" applyAlignment="true" applyProtection="false">
      <alignment horizontal="right" vertical="center" textRotation="0" wrapText="true" indent="0" shrinkToFit="false"/>
      <protection locked="true" hidden="false"/>
    </xf>
    <xf numFmtId="169" fontId="14" fillId="6" borderId="2" xfId="0" applyFont="true" applyBorder="true" applyAlignment="true" applyProtection="false">
      <alignment horizontal="right" vertical="center" textRotation="0" wrapText="false" indent="0" shrinkToFit="false"/>
      <protection locked="true" hidden="false"/>
    </xf>
    <xf numFmtId="170" fontId="14" fillId="6" borderId="2" xfId="0" applyFont="true" applyBorder="true" applyAlignment="true" applyProtection="false">
      <alignment horizontal="right" vertical="center" textRotation="0" wrapText="true" indent="0" shrinkToFit="false"/>
      <protection locked="true" hidden="false"/>
    </xf>
    <xf numFmtId="170" fontId="14" fillId="6" borderId="2" xfId="0" applyFont="true" applyBorder="true" applyAlignment="true" applyProtection="false">
      <alignment horizontal="right" vertical="center" textRotation="0" wrapText="false" indent="0" shrinkToFit="false"/>
      <protection locked="true" hidden="false"/>
    </xf>
    <xf numFmtId="171" fontId="11" fillId="6" borderId="2" xfId="0" applyFont="true" applyBorder="true" applyAlignment="true" applyProtection="false">
      <alignment horizontal="right" vertical="center" textRotation="0" wrapText="true" indent="0" shrinkToFit="false"/>
      <protection locked="true" hidden="false"/>
    </xf>
    <xf numFmtId="171" fontId="11" fillId="6" borderId="2" xfId="0" applyFont="true" applyBorder="true" applyAlignment="true" applyProtection="false">
      <alignment horizontal="right" vertical="center" textRotation="0" wrapText="false" indent="0" shrinkToFit="false"/>
      <protection locked="true" hidden="false"/>
    </xf>
    <xf numFmtId="164" fontId="32" fillId="0" borderId="2" xfId="0" applyFont="true" applyBorder="true" applyAlignment="true" applyProtection="false">
      <alignment horizontal="center" vertical="center" textRotation="0" wrapText="true" indent="0" shrinkToFit="false"/>
      <protection locked="true" hidden="false"/>
    </xf>
    <xf numFmtId="164" fontId="36" fillId="2" borderId="0" xfId="0" applyFont="true" applyBorder="true" applyAlignment="true" applyProtection="false">
      <alignment horizontal="center" vertical="center" textRotation="0" wrapText="true" indent="0" shrinkToFit="false"/>
      <protection locked="true" hidden="false"/>
    </xf>
    <xf numFmtId="164" fontId="37" fillId="3" borderId="0" xfId="0" applyFont="true" applyBorder="true" applyAlignment="true" applyProtection="false">
      <alignment horizontal="general" vertical="top" textRotation="0" wrapText="true" indent="0" shrinkToFit="false"/>
      <protection locked="true" hidden="false"/>
    </xf>
    <xf numFmtId="165" fontId="13" fillId="0" borderId="2" xfId="0" applyFont="true" applyBorder="true" applyAlignment="false" applyProtection="false">
      <alignment horizontal="general" vertical="bottom" textRotation="0" wrapText="false" indent="0" shrinkToFit="false"/>
      <protection locked="true" hidden="false"/>
    </xf>
    <xf numFmtId="165" fontId="20" fillId="0" borderId="2" xfId="0" applyFont="true" applyBorder="true" applyAlignment="false" applyProtection="false">
      <alignment horizontal="general" vertical="bottom" textRotation="0" wrapText="false" indent="0" shrinkToFit="false"/>
      <protection locked="true" hidden="false"/>
    </xf>
    <xf numFmtId="166" fontId="20" fillId="0" borderId="2" xfId="0" applyFont="true" applyBorder="true" applyAlignment="false" applyProtection="false">
      <alignment horizontal="general" vertical="bottom" textRotation="0" wrapText="false" indent="0" shrinkToFit="false"/>
      <protection locked="true" hidden="false"/>
    </xf>
    <xf numFmtId="164" fontId="20" fillId="5" borderId="2" xfId="0" applyFont="true" applyBorder="true" applyAlignment="true" applyProtection="false">
      <alignment horizontal="center" vertical="center" textRotation="0" wrapText="true" indent="0" shrinkToFit="false"/>
      <protection locked="true" hidden="false"/>
    </xf>
    <xf numFmtId="164" fontId="38" fillId="0" borderId="0"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5" fontId="31" fillId="0" borderId="2" xfId="0" applyFont="true" applyBorder="true" applyAlignment="true" applyProtection="false">
      <alignment horizontal="center" vertical="center" textRotation="0" wrapText="true" indent="0" shrinkToFit="false"/>
      <protection locked="true" hidden="false"/>
    </xf>
    <xf numFmtId="166" fontId="31" fillId="0" borderId="2"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right" vertical="bottom" textRotation="0" wrapText="false" indent="0" shrinkToFit="false"/>
      <protection locked="true" hidden="false"/>
    </xf>
    <xf numFmtId="164" fontId="39"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ont>
        <name val="Calibri"/>
        <charset val="1"/>
        <family val="0"/>
        <b val="1"/>
        <color rgb="FF006100"/>
        <sz val="13"/>
      </font>
      <fill>
        <patternFill>
          <bgColor rgb="FFC6EFCE"/>
        </patternFill>
      </fill>
    </dxf>
    <dxf>
      <font>
        <name val="Calibri"/>
        <charset val="1"/>
        <family val="0"/>
        <b val="1"/>
        <color rgb="FF9C0006"/>
        <sz val="13"/>
      </font>
      <fill>
        <patternFill>
          <bgColor rgb="FFFFC7CE"/>
        </patternFill>
      </fill>
    </dxf>
    <dxf>
      <font>
        <name val="Calibri"/>
        <charset val="1"/>
        <family val="0"/>
        <b val="1"/>
        <color rgb="FF006100"/>
        <sz val="14"/>
      </font>
      <fill>
        <patternFill>
          <bgColor rgb="FFC6EFCE"/>
        </patternFill>
      </fill>
    </dxf>
    <dxf>
      <font>
        <name val="Calibri"/>
        <charset val="1"/>
        <family val="0"/>
        <b val="1"/>
        <color rgb="FF9C0006"/>
        <sz val="14"/>
      </font>
      <fill>
        <patternFill>
          <bgColor rgb="FFFFC7CE"/>
        </patternFill>
      </fill>
    </dxf>
    <dxf>
      <font>
        <name val="Calibri"/>
        <charset val="1"/>
        <family val="0"/>
        <b val="1"/>
        <color rgb="FF006100"/>
        <sz val="15"/>
      </font>
      <fill>
        <patternFill>
          <bgColor rgb="FFC6EFCE"/>
        </patternFill>
      </fill>
    </dxf>
    <dxf>
      <font>
        <name val="Calibri"/>
        <charset val="1"/>
        <family val="0"/>
        <b val="1"/>
        <color rgb="FF9C0006"/>
        <sz val="15"/>
      </font>
      <fill>
        <patternFill>
          <bgColor rgb="FFFFC7CE"/>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878787"/>
      <rgbColor rgb="FF993366"/>
      <rgbColor rgb="FFFFF4D6"/>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3F0"/>
      <rgbColor rgb="FFC6EFCE"/>
      <rgbColor rgb="FFFFFBE6"/>
      <rgbColor rgb="FF99CCFF"/>
      <rgbColor rgb="FFFF99CC"/>
      <rgbColor rgb="FFCC99FF"/>
      <rgbColor rgb="FFFFC7CE"/>
      <rgbColor rgb="FF3366FF"/>
      <rgbColor rgb="FF33CCCC"/>
      <rgbColor rgb="FF99CC00"/>
      <rgbColor rgb="FFFFCC00"/>
      <rgbColor rgb="FFC9A227"/>
      <rgbColor rgb="FFFF6600"/>
      <rgbColor rgb="FF595959"/>
      <rgbColor rgb="FF8C8C8C"/>
      <rgbColor rgb="FF1F3864"/>
      <rgbColor rgb="FF339966"/>
      <rgbColor rgb="FF0061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Closing Corpus vs Total Investments (INR Lakhs)</a:t>
            </a:r>
          </a:p>
        </c:rich>
      </c:tx>
      <c:overlay val="0"/>
      <c:spPr>
        <a:noFill/>
        <a:ln w="0">
          <a:noFill/>
        </a:ln>
      </c:spPr>
    </c:title>
    <c:autoTitleDeleted val="0"/>
    <c:plotArea>
      <c:barChart>
        <c:barDir val="col"/>
        <c:grouping val="clustered"/>
        <c:varyColors val="0"/>
        <c:ser>
          <c:idx val="0"/>
          <c:order val="0"/>
          <c:tx>
            <c:strRef>
              <c:f>"Closing Corpus"</c:f>
              <c:strCache>
                <c:ptCount val="1"/>
                <c:pt idx="0">
                  <c:v>Closing Corpus</c:v>
                </c:pt>
              </c:strCache>
            </c:strRef>
          </c:tx>
          <c:spPr>
            <a:solidFill>
              <a:srgbClr val="1f386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'6. Summary &amp; Compliance'!$D$12:$G$12</c:f>
              <c:multiLvlStrCache>
                <c:ptCount val="1"/>
                <c:lvl>
                  <c:pt idx="0">
                    <c:v>FY 2022-23</c:v>
                  </c:pt>
                </c:lvl>
                <c:lvl>
                  <c:pt idx="0">
                    <c:v>FY 2023-24</c:v>
                  </c:pt>
                </c:lvl>
                <c:lvl>
                  <c:pt idx="0">
                    <c:v>FY 2024-25</c:v>
                  </c:pt>
                </c:lvl>
                <c:lvl>
                  <c:pt idx="0">
                    <c:v>FY 2025-26</c:v>
                  </c:pt>
                </c:lvl>
              </c:multiLvlStrCache>
            </c:multiLvlStrRef>
          </c:cat>
          <c:val>
            <c:numRef>
              <c:f>'6. Summary &amp; Compliance'!$D$16:$G$16</c:f>
              <c:numCache>
                <c:formatCode>#,##0.00;\(#,##0.00\);\-</c:formatCode>
                <c:ptCount val="4"/>
                <c:pt idx="0">
                  <c:v>0</c:v>
                </c:pt>
                <c:pt idx="1">
                  <c:v>0</c:v>
                </c:pt>
                <c:pt idx="2">
                  <c:v>0</c:v>
                </c:pt>
                <c:pt idx="3">
                  <c:v>0</c:v>
                </c:pt>
              </c:numCache>
            </c:numRef>
          </c:val>
        </c:ser>
        <c:ser>
          <c:idx val="1"/>
          <c:order val="1"/>
          <c:tx>
            <c:strRef>
              <c:f>"Total Investments"</c:f>
              <c:strCache>
                <c:ptCount val="1"/>
                <c:pt idx="0">
                  <c:v>Total Investments</c:v>
                </c:pt>
              </c:strCache>
            </c:strRef>
          </c:tx>
          <c:spPr>
            <a:solidFill>
              <a:srgbClr val="c9a22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'6. Summary &amp; Compliance'!$D$12:$G$12</c:f>
              <c:multiLvlStrCache>
                <c:ptCount val="1"/>
                <c:lvl>
                  <c:pt idx="0">
                    <c:v>FY 2022-23</c:v>
                  </c:pt>
                </c:lvl>
                <c:lvl>
                  <c:pt idx="0">
                    <c:v>FY 2023-24</c:v>
                  </c:pt>
                </c:lvl>
                <c:lvl>
                  <c:pt idx="0">
                    <c:v>FY 2024-25</c:v>
                  </c:pt>
                </c:lvl>
                <c:lvl>
                  <c:pt idx="0">
                    <c:v>FY 2025-26</c:v>
                  </c:pt>
                </c:lvl>
              </c:multiLvlStrCache>
            </c:multiLvlStrRef>
          </c:cat>
          <c:val>
            <c:numRef>
              <c:f>'6. Summary &amp; Compliance'!$D$24:$G$24</c:f>
              <c:numCache>
                <c:formatCode>#,##0.00;\(#,##0.00\);\-</c:formatCode>
                <c:ptCount val="4"/>
                <c:pt idx="0">
                  <c:v>0</c:v>
                </c:pt>
                <c:pt idx="1">
                  <c:v>0</c:v>
                </c:pt>
                <c:pt idx="2">
                  <c:v>0</c:v>
                </c:pt>
                <c:pt idx="3">
                  <c:v>0</c:v>
                </c:pt>
              </c:numCache>
            </c:numRef>
          </c:val>
        </c:ser>
        <c:gapWidth val="150"/>
        <c:overlap val="0"/>
        <c:axId val="69253037"/>
        <c:axId val="53452607"/>
      </c:barChart>
      <c:catAx>
        <c:axId val="6925303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452607"/>
        <c:crosses val="autoZero"/>
        <c:auto val="1"/>
        <c:lblAlgn val="ctr"/>
        <c:lblOffset val="100"/>
        <c:noMultiLvlLbl val="0"/>
      </c:catAx>
      <c:valAx>
        <c:axId val="5345260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INR Lakhs</a:t>
                </a:r>
              </a:p>
            </c:rich>
          </c:tx>
          <c:overlay val="0"/>
          <c:spPr>
            <a:noFill/>
            <a:ln w="0">
              <a:noFill/>
            </a:ln>
          </c:spPr>
        </c:title>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25303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38</xdr:row>
      <xdr:rowOff>0</xdr:rowOff>
    </xdr:from>
    <xdr:to>
      <xdr:col>6</xdr:col>
      <xdr:colOff>760680</xdr:colOff>
      <xdr:row>58</xdr:row>
      <xdr:rowOff>149760</xdr:rowOff>
    </xdr:to>
    <xdr:graphicFrame>
      <xdr:nvGraphicFramePr>
        <xdr:cNvPr id="0" name="Chart 1"/>
        <xdr:cNvGraphicFramePr/>
      </xdr:nvGraphicFramePr>
      <xdr:xfrm>
        <a:off x="846000" y="16144920"/>
        <a:ext cx="935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E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4" min="3" style="0" width="45"/>
    <col collapsed="false" customWidth="true" hidden="false" outlineLevel="0" max="5" min="5" style="0" width="40"/>
  </cols>
  <sheetData>
    <row r="2" customFormat="false" ht="52.5" hidden="false" customHeight="true" outlineLevel="0" collapsed="false">
      <c r="B2" s="1" t="s">
        <v>0</v>
      </c>
      <c r="C2" s="1"/>
      <c r="D2" s="1"/>
      <c r="E2" s="1"/>
    </row>
    <row r="3" customFormat="false" ht="33.75" hidden="false" customHeight="true" outlineLevel="0" collapsed="false">
      <c r="B3" s="2" t="s">
        <v>1</v>
      </c>
      <c r="C3" s="2"/>
      <c r="D3" s="2"/>
      <c r="E3" s="2"/>
    </row>
    <row r="5" customFormat="false" ht="30.75" hidden="false" customHeight="true" outlineLevel="0" collapsed="false">
      <c r="B5" s="3" t="s">
        <v>2</v>
      </c>
      <c r="C5" s="3"/>
      <c r="D5" s="3"/>
      <c r="E5" s="3"/>
    </row>
    <row r="6" customFormat="false" ht="36.75" hidden="false" customHeight="true" outlineLevel="0" collapsed="false">
      <c r="B6" s="4" t="s">
        <v>3</v>
      </c>
      <c r="C6" s="4"/>
      <c r="D6" s="4"/>
      <c r="E6" s="4"/>
    </row>
    <row r="7" customFormat="false" ht="30.75" hidden="false" customHeight="true" outlineLevel="0" collapsed="false">
      <c r="B7" s="5" t="s">
        <v>4</v>
      </c>
      <c r="C7" s="5"/>
      <c r="D7" s="5"/>
      <c r="E7" s="5"/>
    </row>
    <row r="8" customFormat="false" ht="27.75" hidden="false" customHeight="true" outlineLevel="0" collapsed="false">
      <c r="B8" s="6" t="s">
        <v>5</v>
      </c>
      <c r="C8" s="6"/>
      <c r="D8" s="6"/>
      <c r="E8" s="6"/>
    </row>
    <row r="10" customFormat="false" ht="30" hidden="false" customHeight="true" outlineLevel="0" collapsed="false">
      <c r="B10" s="7" t="s">
        <v>6</v>
      </c>
      <c r="C10" s="7"/>
      <c r="D10" s="7"/>
      <c r="E10" s="7"/>
    </row>
    <row r="11" customFormat="false" ht="210.75" hidden="false" customHeight="true" outlineLevel="0" collapsed="false">
      <c r="B11" s="8" t="s">
        <v>7</v>
      </c>
      <c r="C11" s="8"/>
      <c r="D11" s="8"/>
      <c r="E11" s="8"/>
    </row>
    <row r="13" customFormat="false" ht="30" hidden="false" customHeight="true" outlineLevel="0" collapsed="false">
      <c r="B13" s="7" t="s">
        <v>8</v>
      </c>
      <c r="C13" s="7"/>
      <c r="D13" s="7"/>
      <c r="E13" s="7"/>
    </row>
    <row r="14" customFormat="false" ht="352.5" hidden="false" customHeight="true" outlineLevel="0" collapsed="false">
      <c r="B14" s="8" t="s">
        <v>9</v>
      </c>
      <c r="C14" s="8"/>
      <c r="D14" s="8"/>
      <c r="E14" s="8"/>
    </row>
    <row r="16" customFormat="false" ht="30" hidden="false" customHeight="true" outlineLevel="0" collapsed="false">
      <c r="B16" s="7" t="s">
        <v>10</v>
      </c>
      <c r="C16" s="7"/>
      <c r="D16" s="7"/>
      <c r="E16" s="7"/>
    </row>
    <row r="17" customFormat="false" ht="129.75" hidden="false" customHeight="true" outlineLevel="0" collapsed="false">
      <c r="B17" s="8" t="s">
        <v>11</v>
      </c>
      <c r="C17" s="8"/>
      <c r="D17" s="8"/>
      <c r="E17" s="8"/>
    </row>
    <row r="19" customFormat="false" ht="30" hidden="false" customHeight="true" outlineLevel="0" collapsed="false">
      <c r="B19" s="7" t="s">
        <v>12</v>
      </c>
      <c r="C19" s="7"/>
      <c r="D19" s="7"/>
      <c r="E19" s="7"/>
    </row>
    <row r="20" customFormat="false" ht="27.75" hidden="false" customHeight="true" outlineLevel="0" collapsed="false">
      <c r="B20" s="9" t="s">
        <v>13</v>
      </c>
      <c r="C20" s="9" t="s">
        <v>14</v>
      </c>
      <c r="D20" s="9" t="s">
        <v>15</v>
      </c>
      <c r="E20" s="9" t="s">
        <v>16</v>
      </c>
    </row>
    <row r="21" customFormat="false" ht="48" hidden="false" customHeight="true" outlineLevel="0" collapsed="false">
      <c r="B21" s="10" t="s">
        <v>17</v>
      </c>
      <c r="C21" s="10" t="s">
        <v>18</v>
      </c>
      <c r="D21" s="10" t="s">
        <v>19</v>
      </c>
      <c r="E21" s="10" t="s">
        <v>20</v>
      </c>
    </row>
    <row r="22" customFormat="false" ht="68.25" hidden="false" customHeight="true" outlineLevel="0" collapsed="false">
      <c r="B22" s="11" t="s">
        <v>21</v>
      </c>
      <c r="C22" s="11" t="s">
        <v>22</v>
      </c>
      <c r="D22" s="11" t="s">
        <v>23</v>
      </c>
      <c r="E22" s="11" t="s">
        <v>24</v>
      </c>
    </row>
    <row r="23" customFormat="false" ht="48" hidden="false" customHeight="true" outlineLevel="0" collapsed="false">
      <c r="B23" s="10" t="s">
        <v>25</v>
      </c>
      <c r="C23" s="10" t="s">
        <v>26</v>
      </c>
      <c r="D23" s="10" t="s">
        <v>27</v>
      </c>
      <c r="E23" s="10" t="s">
        <v>28</v>
      </c>
    </row>
    <row r="24" customFormat="false" ht="68.25" hidden="false" customHeight="true" outlineLevel="0" collapsed="false">
      <c r="B24" s="11" t="s">
        <v>29</v>
      </c>
      <c r="C24" s="11" t="s">
        <v>30</v>
      </c>
      <c r="D24" s="11" t="s">
        <v>27</v>
      </c>
      <c r="E24" s="11" t="s">
        <v>28</v>
      </c>
    </row>
    <row r="25" customFormat="false" ht="48" hidden="false" customHeight="true" outlineLevel="0" collapsed="false">
      <c r="B25" s="10" t="s">
        <v>31</v>
      </c>
      <c r="C25" s="10" t="s">
        <v>32</v>
      </c>
      <c r="D25" s="10" t="s">
        <v>33</v>
      </c>
      <c r="E25" s="10" t="s">
        <v>34</v>
      </c>
    </row>
    <row r="26" customFormat="false" ht="48" hidden="false" customHeight="true" outlineLevel="0" collapsed="false">
      <c r="B26" s="11" t="s">
        <v>35</v>
      </c>
      <c r="C26" s="11" t="s">
        <v>36</v>
      </c>
      <c r="D26" s="11" t="s">
        <v>37</v>
      </c>
      <c r="E26" s="11" t="s">
        <v>38</v>
      </c>
    </row>
    <row r="27" customFormat="false" ht="48" hidden="false" customHeight="true" outlineLevel="0" collapsed="false">
      <c r="B27" s="10" t="s">
        <v>39</v>
      </c>
      <c r="C27" s="10" t="s">
        <v>40</v>
      </c>
      <c r="D27" s="10" t="s">
        <v>41</v>
      </c>
      <c r="E27" s="10" t="s">
        <v>42</v>
      </c>
    </row>
    <row r="28" customFormat="false" ht="48" hidden="false" customHeight="true" outlineLevel="0" collapsed="false">
      <c r="B28" s="11" t="s">
        <v>43</v>
      </c>
      <c r="C28" s="11" t="s">
        <v>44</v>
      </c>
      <c r="D28" s="11" t="s">
        <v>45</v>
      </c>
      <c r="E28" s="11" t="s">
        <v>46</v>
      </c>
    </row>
    <row r="29" customFormat="false" ht="48" hidden="false" customHeight="true" outlineLevel="0" collapsed="false">
      <c r="B29" s="10" t="s">
        <v>47</v>
      </c>
      <c r="C29" s="10" t="s">
        <v>48</v>
      </c>
      <c r="D29" s="10" t="s">
        <v>49</v>
      </c>
      <c r="E29" s="10" t="s">
        <v>50</v>
      </c>
    </row>
    <row r="31" customFormat="false" ht="30" hidden="false" customHeight="true" outlineLevel="0" collapsed="false">
      <c r="B31" s="7" t="s">
        <v>51</v>
      </c>
      <c r="C31" s="7"/>
      <c r="D31" s="7"/>
      <c r="E31" s="7"/>
    </row>
    <row r="32" customFormat="false" ht="27.75" hidden="false" customHeight="true" outlineLevel="0" collapsed="false">
      <c r="B32" s="12" t="s">
        <v>52</v>
      </c>
      <c r="C32" s="13" t="s">
        <v>53</v>
      </c>
      <c r="D32" s="13"/>
      <c r="E32" s="13"/>
    </row>
    <row r="33" customFormat="false" ht="27.75" hidden="false" customHeight="true" outlineLevel="0" collapsed="false">
      <c r="B33" s="14" t="s">
        <v>54</v>
      </c>
      <c r="C33" s="13" t="s">
        <v>55</v>
      </c>
      <c r="D33" s="13"/>
      <c r="E33" s="13"/>
    </row>
    <row r="34" customFormat="false" ht="27.75" hidden="false" customHeight="true" outlineLevel="0" collapsed="false">
      <c r="B34" s="15" t="s">
        <v>56</v>
      </c>
      <c r="C34" s="13" t="s">
        <v>57</v>
      </c>
      <c r="D34" s="13"/>
      <c r="E34" s="13"/>
    </row>
    <row r="35" customFormat="false" ht="27.75" hidden="false" customHeight="true" outlineLevel="0" collapsed="false">
      <c r="B35" s="16" t="s">
        <v>58</v>
      </c>
      <c r="C35" s="13" t="s">
        <v>59</v>
      </c>
      <c r="D35" s="13"/>
      <c r="E35" s="13"/>
    </row>
    <row r="37" customFormat="false" ht="42.75" hidden="false" customHeight="true" outlineLevel="0" collapsed="false">
      <c r="B37" s="17" t="s">
        <v>60</v>
      </c>
      <c r="C37" s="17"/>
      <c r="D37" s="17"/>
      <c r="E37" s="17"/>
    </row>
    <row r="38" customFormat="false" ht="42.75" hidden="false" customHeight="true" outlineLevel="0" collapsed="false">
      <c r="B38" s="18" t="s">
        <v>61</v>
      </c>
      <c r="C38" s="18"/>
      <c r="D38" s="18"/>
      <c r="E38" s="18"/>
    </row>
  </sheetData>
  <mergeCells count="20">
    <mergeCell ref="B2:E2"/>
    <mergeCell ref="B3:E3"/>
    <mergeCell ref="B5:E5"/>
    <mergeCell ref="B6:E6"/>
    <mergeCell ref="B7:E7"/>
    <mergeCell ref="B8:E8"/>
    <mergeCell ref="B10:E10"/>
    <mergeCell ref="B11:E11"/>
    <mergeCell ref="B13:E13"/>
    <mergeCell ref="B14:E14"/>
    <mergeCell ref="B16:E16"/>
    <mergeCell ref="B17:E17"/>
    <mergeCell ref="B19:E19"/>
    <mergeCell ref="B31:E31"/>
    <mergeCell ref="C32:E32"/>
    <mergeCell ref="C33:E33"/>
    <mergeCell ref="C34:E34"/>
    <mergeCell ref="C35:E35"/>
    <mergeCell ref="B37:E37"/>
    <mergeCell ref="B38:E3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E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38"/>
    <col collapsed="false" customWidth="true" hidden="false" outlineLevel="0" max="4" min="4" style="0" width="55"/>
    <col collapsed="false" customWidth="true" hidden="false" outlineLevel="0" max="5" min="5" style="0" width="50"/>
  </cols>
  <sheetData>
    <row r="2" customFormat="false" ht="43.5" hidden="false" customHeight="true" outlineLevel="0" collapsed="false">
      <c r="B2" s="19" t="s">
        <v>62</v>
      </c>
      <c r="C2" s="19"/>
      <c r="D2" s="19"/>
      <c r="E2" s="19"/>
    </row>
    <row r="3" customFormat="false" ht="30" hidden="false" customHeight="true" outlineLevel="0" collapsed="false">
      <c r="B3" s="7" t="s">
        <v>63</v>
      </c>
      <c r="C3" s="7"/>
      <c r="D3" s="7"/>
      <c r="E3" s="7"/>
    </row>
    <row r="4" customFormat="false" ht="27.75" hidden="false" customHeight="true" outlineLevel="0" collapsed="false">
      <c r="B4" s="9" t="s">
        <v>64</v>
      </c>
      <c r="C4" s="9" t="s">
        <v>65</v>
      </c>
      <c r="D4" s="9" t="s">
        <v>66</v>
      </c>
      <c r="E4" s="9" t="s">
        <v>67</v>
      </c>
    </row>
    <row r="5" customFormat="false" ht="88.5" hidden="false" customHeight="true" outlineLevel="0" collapsed="false">
      <c r="B5" s="10" t="s">
        <v>68</v>
      </c>
      <c r="C5" s="10" t="s">
        <v>69</v>
      </c>
      <c r="D5" s="10" t="s">
        <v>70</v>
      </c>
      <c r="E5" s="10" t="s">
        <v>71</v>
      </c>
    </row>
    <row r="6" customFormat="false" ht="88.5" hidden="false" customHeight="true" outlineLevel="0" collapsed="false">
      <c r="B6" s="11" t="s">
        <v>72</v>
      </c>
      <c r="C6" s="11" t="s">
        <v>73</v>
      </c>
      <c r="D6" s="11" t="s">
        <v>74</v>
      </c>
      <c r="E6" s="11" t="s">
        <v>75</v>
      </c>
    </row>
    <row r="8" customFormat="false" ht="30" hidden="false" customHeight="true" outlineLevel="0" collapsed="false">
      <c r="B8" s="7" t="s">
        <v>76</v>
      </c>
      <c r="C8" s="7"/>
      <c r="D8" s="7"/>
      <c r="E8" s="7"/>
    </row>
    <row r="9" customFormat="false" ht="129.75" hidden="false" customHeight="true" outlineLevel="0" collapsed="false">
      <c r="B9" s="8" t="s">
        <v>77</v>
      </c>
      <c r="C9" s="8"/>
      <c r="D9" s="8"/>
      <c r="E9" s="8"/>
    </row>
    <row r="11" customFormat="false" ht="30" hidden="false" customHeight="true" outlineLevel="0" collapsed="false">
      <c r="B11" s="7" t="s">
        <v>78</v>
      </c>
      <c r="C11" s="7"/>
      <c r="D11" s="7"/>
      <c r="E11" s="7"/>
    </row>
    <row r="12" customFormat="false" ht="27.75" hidden="false" customHeight="true" outlineLevel="0" collapsed="false">
      <c r="B12" s="9" t="s">
        <v>64</v>
      </c>
      <c r="C12" s="9" t="s">
        <v>79</v>
      </c>
      <c r="D12" s="9" t="s">
        <v>80</v>
      </c>
      <c r="E12" s="9" t="s">
        <v>81</v>
      </c>
    </row>
    <row r="13" customFormat="false" ht="109.5" hidden="false" customHeight="true" outlineLevel="0" collapsed="false">
      <c r="B13" s="10" t="s">
        <v>68</v>
      </c>
      <c r="C13" s="10" t="s">
        <v>82</v>
      </c>
      <c r="D13" s="10" t="s">
        <v>83</v>
      </c>
      <c r="E13" s="10" t="s">
        <v>84</v>
      </c>
    </row>
    <row r="14" customFormat="false" ht="68.25" hidden="false" customHeight="true" outlineLevel="0" collapsed="false">
      <c r="B14" s="11" t="s">
        <v>68</v>
      </c>
      <c r="C14" s="11" t="s">
        <v>85</v>
      </c>
      <c r="D14" s="11" t="s">
        <v>86</v>
      </c>
      <c r="E14" s="11" t="s">
        <v>87</v>
      </c>
    </row>
    <row r="15" customFormat="false" ht="30" hidden="false" customHeight="true" outlineLevel="0" collapsed="false">
      <c r="B15" s="10" t="s">
        <v>68</v>
      </c>
      <c r="C15" s="10" t="s">
        <v>88</v>
      </c>
      <c r="D15" s="10" t="s">
        <v>89</v>
      </c>
      <c r="E15" s="10" t="s">
        <v>90</v>
      </c>
    </row>
    <row r="16" customFormat="false" ht="68.25" hidden="false" customHeight="true" outlineLevel="0" collapsed="false">
      <c r="B16" s="11" t="s">
        <v>72</v>
      </c>
      <c r="C16" s="11" t="s">
        <v>91</v>
      </c>
      <c r="D16" s="11" t="s">
        <v>92</v>
      </c>
      <c r="E16" s="11" t="s">
        <v>93</v>
      </c>
    </row>
    <row r="17" customFormat="false" ht="88.5" hidden="false" customHeight="true" outlineLevel="0" collapsed="false">
      <c r="B17" s="10" t="s">
        <v>72</v>
      </c>
      <c r="C17" s="10" t="s">
        <v>94</v>
      </c>
      <c r="D17" s="10" t="s">
        <v>89</v>
      </c>
      <c r="E17" s="10" t="s">
        <v>95</v>
      </c>
    </row>
    <row r="19" customFormat="false" ht="30" hidden="false" customHeight="true" outlineLevel="0" collapsed="false">
      <c r="B19" s="7" t="s">
        <v>96</v>
      </c>
      <c r="C19" s="7"/>
      <c r="D19" s="7"/>
      <c r="E19" s="7"/>
    </row>
    <row r="20" customFormat="false" ht="27.75" hidden="false" customHeight="true" outlineLevel="0" collapsed="false">
      <c r="B20" s="9" t="s">
        <v>97</v>
      </c>
      <c r="C20" s="9" t="s">
        <v>98</v>
      </c>
      <c r="D20" s="9" t="s">
        <v>99</v>
      </c>
      <c r="E20" s="9" t="s">
        <v>100</v>
      </c>
    </row>
    <row r="21" customFormat="false" ht="48" hidden="false" customHeight="true" outlineLevel="0" collapsed="false">
      <c r="B21" s="10" t="s">
        <v>101</v>
      </c>
      <c r="C21" s="10" t="s">
        <v>102</v>
      </c>
      <c r="D21" s="10" t="s">
        <v>103</v>
      </c>
      <c r="E21" s="10" t="s">
        <v>27</v>
      </c>
    </row>
    <row r="22" customFormat="false" ht="88.5" hidden="false" customHeight="true" outlineLevel="0" collapsed="false">
      <c r="B22" s="11" t="s">
        <v>104</v>
      </c>
      <c r="C22" s="11" t="s">
        <v>105</v>
      </c>
      <c r="D22" s="11" t="s">
        <v>106</v>
      </c>
      <c r="E22" s="11" t="s">
        <v>107</v>
      </c>
    </row>
    <row r="23" customFormat="false" ht="68.25" hidden="false" customHeight="true" outlineLevel="0" collapsed="false">
      <c r="B23" s="10" t="s">
        <v>108</v>
      </c>
      <c r="C23" s="10" t="s">
        <v>109</v>
      </c>
      <c r="D23" s="10" t="s">
        <v>110</v>
      </c>
      <c r="E23" s="10" t="s">
        <v>27</v>
      </c>
    </row>
    <row r="24" customFormat="false" ht="68.25" hidden="false" customHeight="true" outlineLevel="0" collapsed="false">
      <c r="B24" s="11" t="s">
        <v>111</v>
      </c>
      <c r="C24" s="11" t="s">
        <v>112</v>
      </c>
      <c r="D24" s="11" t="s">
        <v>113</v>
      </c>
      <c r="E24" s="11" t="s">
        <v>114</v>
      </c>
    </row>
    <row r="25" customFormat="false" ht="68.25" hidden="false" customHeight="true" outlineLevel="0" collapsed="false">
      <c r="B25" s="10" t="s">
        <v>115</v>
      </c>
      <c r="C25" s="10" t="s">
        <v>116</v>
      </c>
      <c r="D25" s="10" t="s">
        <v>117</v>
      </c>
      <c r="E25" s="10" t="s">
        <v>27</v>
      </c>
    </row>
    <row r="26" customFormat="false" ht="68.25" hidden="false" customHeight="true" outlineLevel="0" collapsed="false">
      <c r="B26" s="11" t="s">
        <v>118</v>
      </c>
      <c r="C26" s="11" t="s">
        <v>119</v>
      </c>
      <c r="D26" s="11" t="s">
        <v>120</v>
      </c>
      <c r="E26" s="11" t="s">
        <v>121</v>
      </c>
    </row>
    <row r="27" customFormat="false" ht="48" hidden="false" customHeight="true" outlineLevel="0" collapsed="false">
      <c r="B27" s="10" t="s">
        <v>122</v>
      </c>
      <c r="C27" s="10" t="s">
        <v>123</v>
      </c>
      <c r="D27" s="10" t="s">
        <v>124</v>
      </c>
      <c r="E27" s="10" t="s">
        <v>125</v>
      </c>
    </row>
    <row r="28" customFormat="false" ht="48" hidden="false" customHeight="true" outlineLevel="0" collapsed="false">
      <c r="B28" s="11" t="s">
        <v>126</v>
      </c>
      <c r="C28" s="11" t="s">
        <v>127</v>
      </c>
      <c r="D28" s="11" t="s">
        <v>128</v>
      </c>
      <c r="E28" s="11" t="s">
        <v>129</v>
      </c>
    </row>
    <row r="29" customFormat="false" ht="68.25" hidden="false" customHeight="true" outlineLevel="0" collapsed="false">
      <c r="B29" s="10" t="s">
        <v>130</v>
      </c>
      <c r="C29" s="10" t="s">
        <v>131</v>
      </c>
      <c r="D29" s="10" t="s">
        <v>132</v>
      </c>
      <c r="E29" s="10" t="s">
        <v>133</v>
      </c>
    </row>
    <row r="31" customFormat="false" ht="30" hidden="false" customHeight="true" outlineLevel="0" collapsed="false">
      <c r="B31" s="7" t="s">
        <v>134</v>
      </c>
      <c r="C31" s="7"/>
      <c r="D31" s="7"/>
      <c r="E31" s="7"/>
    </row>
    <row r="32" customFormat="false" ht="27.75" hidden="false" customHeight="true" outlineLevel="0" collapsed="false">
      <c r="B32" s="9" t="s">
        <v>135</v>
      </c>
      <c r="C32" s="9" t="s">
        <v>136</v>
      </c>
      <c r="D32" s="9" t="s">
        <v>137</v>
      </c>
      <c r="E32" s="9" t="s">
        <v>138</v>
      </c>
    </row>
    <row r="33" customFormat="false" ht="129.75" hidden="false" customHeight="true" outlineLevel="0" collapsed="false">
      <c r="B33" s="10" t="s">
        <v>139</v>
      </c>
      <c r="C33" s="10" t="s">
        <v>140</v>
      </c>
      <c r="D33" s="10" t="s">
        <v>141</v>
      </c>
      <c r="E33" s="10" t="s">
        <v>142</v>
      </c>
    </row>
    <row r="34" customFormat="false" ht="129.75" hidden="false" customHeight="true" outlineLevel="0" collapsed="false">
      <c r="B34" s="11" t="s">
        <v>143</v>
      </c>
      <c r="C34" s="11" t="s">
        <v>144</v>
      </c>
      <c r="D34" s="11" t="s">
        <v>145</v>
      </c>
      <c r="E34" s="11" t="s">
        <v>146</v>
      </c>
    </row>
    <row r="35" customFormat="false" ht="88.5" hidden="false" customHeight="true" outlineLevel="0" collapsed="false">
      <c r="B35" s="10" t="s">
        <v>147</v>
      </c>
      <c r="C35" s="10" t="s">
        <v>148</v>
      </c>
      <c r="D35" s="10" t="s">
        <v>149</v>
      </c>
      <c r="E35" s="10" t="s">
        <v>150</v>
      </c>
    </row>
    <row r="37" customFormat="false" ht="30" hidden="false" customHeight="true" outlineLevel="0" collapsed="false">
      <c r="B37" s="7" t="s">
        <v>151</v>
      </c>
      <c r="C37" s="7"/>
      <c r="D37" s="7"/>
      <c r="E37" s="7"/>
    </row>
    <row r="38" customFormat="false" ht="27.75" hidden="false" customHeight="true" outlineLevel="0" collapsed="false">
      <c r="B38" s="9" t="s">
        <v>152</v>
      </c>
      <c r="C38" s="9" t="s">
        <v>153</v>
      </c>
      <c r="D38" s="9" t="s">
        <v>154</v>
      </c>
      <c r="E38" s="9" t="s">
        <v>155</v>
      </c>
    </row>
    <row r="39" customFormat="false" ht="68.25" hidden="false" customHeight="true" outlineLevel="0" collapsed="false">
      <c r="B39" s="10" t="s">
        <v>101</v>
      </c>
      <c r="C39" s="10" t="s">
        <v>156</v>
      </c>
      <c r="D39" s="10" t="s">
        <v>157</v>
      </c>
      <c r="E39" s="10" t="s">
        <v>158</v>
      </c>
    </row>
    <row r="40" customFormat="false" ht="48" hidden="false" customHeight="true" outlineLevel="0" collapsed="false">
      <c r="B40" s="11" t="s">
        <v>104</v>
      </c>
      <c r="C40" s="11" t="s">
        <v>159</v>
      </c>
      <c r="D40" s="11" t="s">
        <v>160</v>
      </c>
      <c r="E40" s="11" t="s">
        <v>161</v>
      </c>
    </row>
    <row r="41" customFormat="false" ht="48" hidden="false" customHeight="true" outlineLevel="0" collapsed="false">
      <c r="B41" s="10" t="s">
        <v>108</v>
      </c>
      <c r="C41" s="10" t="s">
        <v>162</v>
      </c>
      <c r="D41" s="10" t="s">
        <v>163</v>
      </c>
      <c r="E41" s="10" t="s">
        <v>164</v>
      </c>
    </row>
    <row r="42" customFormat="false" ht="68.25" hidden="false" customHeight="true" outlineLevel="0" collapsed="false">
      <c r="B42" s="11" t="s">
        <v>111</v>
      </c>
      <c r="C42" s="11" t="s">
        <v>165</v>
      </c>
      <c r="D42" s="11" t="s">
        <v>166</v>
      </c>
      <c r="E42" s="11" t="s">
        <v>167</v>
      </c>
    </row>
    <row r="43" customFormat="false" ht="48" hidden="false" customHeight="true" outlineLevel="0" collapsed="false">
      <c r="B43" s="10" t="s">
        <v>115</v>
      </c>
      <c r="C43" s="10" t="s">
        <v>168</v>
      </c>
      <c r="D43" s="10" t="s">
        <v>169</v>
      </c>
      <c r="E43" s="10" t="s">
        <v>170</v>
      </c>
    </row>
    <row r="44" customFormat="false" ht="48" hidden="false" customHeight="true" outlineLevel="0" collapsed="false">
      <c r="B44" s="11" t="s">
        <v>118</v>
      </c>
      <c r="C44" s="11" t="s">
        <v>171</v>
      </c>
      <c r="D44" s="11" t="s">
        <v>172</v>
      </c>
      <c r="E44" s="11" t="s">
        <v>173</v>
      </c>
    </row>
    <row r="46" customFormat="false" ht="30" hidden="false" customHeight="true" outlineLevel="0" collapsed="false">
      <c r="B46" s="7" t="s">
        <v>174</v>
      </c>
      <c r="C46" s="7"/>
      <c r="D46" s="7"/>
      <c r="E46" s="7"/>
    </row>
    <row r="47" customFormat="false" ht="27.75" hidden="false" customHeight="true" outlineLevel="0" collapsed="false">
      <c r="B47" s="9" t="s">
        <v>175</v>
      </c>
      <c r="C47" s="9" t="s">
        <v>176</v>
      </c>
      <c r="D47" s="9" t="s">
        <v>177</v>
      </c>
      <c r="E47" s="9" t="s">
        <v>178</v>
      </c>
    </row>
    <row r="48" customFormat="false" ht="30" hidden="false" customHeight="true" outlineLevel="0" collapsed="false">
      <c r="B48" s="10" t="s">
        <v>101</v>
      </c>
      <c r="C48" s="10" t="s">
        <v>179</v>
      </c>
      <c r="D48" s="10" t="s">
        <v>180</v>
      </c>
      <c r="E48" s="10" t="s">
        <v>181</v>
      </c>
    </row>
    <row r="49" customFormat="false" ht="30" hidden="false" customHeight="true" outlineLevel="0" collapsed="false">
      <c r="B49" s="11" t="s">
        <v>104</v>
      </c>
      <c r="C49" s="11" t="s">
        <v>182</v>
      </c>
      <c r="D49" s="11" t="s">
        <v>183</v>
      </c>
      <c r="E49" s="11" t="s">
        <v>184</v>
      </c>
    </row>
    <row r="50" customFormat="false" ht="68.25" hidden="false" customHeight="true" outlineLevel="0" collapsed="false">
      <c r="B50" s="10" t="s">
        <v>108</v>
      </c>
      <c r="C50" s="10" t="s">
        <v>185</v>
      </c>
      <c r="D50" s="10" t="s">
        <v>186</v>
      </c>
      <c r="E50" s="10" t="s">
        <v>187</v>
      </c>
    </row>
    <row r="51" customFormat="false" ht="30" hidden="false" customHeight="true" outlineLevel="0" collapsed="false">
      <c r="B51" s="11" t="s">
        <v>111</v>
      </c>
      <c r="C51" s="11" t="s">
        <v>188</v>
      </c>
      <c r="D51" s="11" t="s">
        <v>189</v>
      </c>
      <c r="E51" s="11" t="s">
        <v>190</v>
      </c>
    </row>
    <row r="52" customFormat="false" ht="48" hidden="false" customHeight="true" outlineLevel="0" collapsed="false">
      <c r="B52" s="10" t="s">
        <v>115</v>
      </c>
      <c r="C52" s="10" t="s">
        <v>191</v>
      </c>
      <c r="D52" s="10" t="s">
        <v>192</v>
      </c>
      <c r="E52" s="10" t="s">
        <v>193</v>
      </c>
    </row>
    <row r="53" customFormat="false" ht="88.5" hidden="false" customHeight="true" outlineLevel="0" collapsed="false">
      <c r="B53" s="11" t="s">
        <v>118</v>
      </c>
      <c r="C53" s="11" t="s">
        <v>194</v>
      </c>
      <c r="D53" s="11" t="s">
        <v>195</v>
      </c>
      <c r="E53" s="11" t="s">
        <v>196</v>
      </c>
    </row>
    <row r="54" customFormat="false" ht="48" hidden="false" customHeight="true" outlineLevel="0" collapsed="false">
      <c r="B54" s="10" t="s">
        <v>122</v>
      </c>
      <c r="C54" s="10" t="s">
        <v>197</v>
      </c>
      <c r="D54" s="10" t="s">
        <v>198</v>
      </c>
      <c r="E54" s="10" t="s">
        <v>199</v>
      </c>
    </row>
    <row r="56" customFormat="false" ht="30" hidden="false" customHeight="true" outlineLevel="0" collapsed="false">
      <c r="B56" s="7" t="s">
        <v>200</v>
      </c>
      <c r="C56" s="7"/>
      <c r="D56" s="7"/>
      <c r="E56" s="7"/>
    </row>
    <row r="57" customFormat="false" ht="129.75" hidden="false" customHeight="true" outlineLevel="0" collapsed="false">
      <c r="B57" s="8" t="s">
        <v>201</v>
      </c>
      <c r="C57" s="8"/>
      <c r="D57" s="8"/>
      <c r="E57" s="8"/>
    </row>
    <row r="59" customFormat="false" ht="30" hidden="false" customHeight="true" outlineLevel="0" collapsed="false">
      <c r="B59" s="7" t="s">
        <v>202</v>
      </c>
      <c r="C59" s="7"/>
      <c r="D59" s="7"/>
      <c r="E59" s="7"/>
    </row>
    <row r="60" customFormat="false" ht="27.75" hidden="false" customHeight="true" outlineLevel="0" collapsed="false">
      <c r="B60" s="9" t="s">
        <v>175</v>
      </c>
      <c r="C60" s="9" t="s">
        <v>203</v>
      </c>
      <c r="D60" s="9" t="s">
        <v>204</v>
      </c>
      <c r="E60" s="9" t="s">
        <v>205</v>
      </c>
    </row>
    <row r="61" customFormat="false" ht="68.25" hidden="false" customHeight="true" outlineLevel="0" collapsed="false">
      <c r="B61" s="10" t="s">
        <v>101</v>
      </c>
      <c r="C61" s="10" t="s">
        <v>206</v>
      </c>
      <c r="D61" s="10" t="s">
        <v>207</v>
      </c>
      <c r="E61" s="10" t="s">
        <v>208</v>
      </c>
    </row>
    <row r="62" customFormat="false" ht="48" hidden="false" customHeight="true" outlineLevel="0" collapsed="false">
      <c r="B62" s="11" t="s">
        <v>104</v>
      </c>
      <c r="C62" s="11" t="s">
        <v>209</v>
      </c>
      <c r="D62" s="11" t="s">
        <v>210</v>
      </c>
      <c r="E62" s="11" t="s">
        <v>211</v>
      </c>
    </row>
    <row r="63" customFormat="false" ht="68.25" hidden="false" customHeight="true" outlineLevel="0" collapsed="false">
      <c r="B63" s="10" t="s">
        <v>108</v>
      </c>
      <c r="C63" s="10" t="s">
        <v>212</v>
      </c>
      <c r="D63" s="10" t="s">
        <v>213</v>
      </c>
      <c r="E63" s="10" t="s">
        <v>214</v>
      </c>
    </row>
    <row r="64" customFormat="false" ht="48" hidden="false" customHeight="true" outlineLevel="0" collapsed="false">
      <c r="B64" s="11" t="s">
        <v>111</v>
      </c>
      <c r="C64" s="11" t="s">
        <v>215</v>
      </c>
      <c r="D64" s="11" t="s">
        <v>216</v>
      </c>
      <c r="E64" s="11" t="s">
        <v>217</v>
      </c>
    </row>
    <row r="65" customFormat="false" ht="68.25" hidden="false" customHeight="true" outlineLevel="0" collapsed="false">
      <c r="B65" s="10" t="s">
        <v>115</v>
      </c>
      <c r="C65" s="10" t="s">
        <v>218</v>
      </c>
      <c r="D65" s="10" t="s">
        <v>219</v>
      </c>
      <c r="E65" s="10" t="s">
        <v>220</v>
      </c>
    </row>
    <row r="66" customFormat="false" ht="48" hidden="false" customHeight="true" outlineLevel="0" collapsed="false">
      <c r="B66" s="11" t="s">
        <v>118</v>
      </c>
      <c r="C66" s="11" t="s">
        <v>221</v>
      </c>
      <c r="D66" s="11" t="s">
        <v>222</v>
      </c>
      <c r="E66" s="11" t="s">
        <v>223</v>
      </c>
    </row>
  </sheetData>
  <mergeCells count="12">
    <mergeCell ref="B2:E2"/>
    <mergeCell ref="B3:E3"/>
    <mergeCell ref="B8:E8"/>
    <mergeCell ref="B9:E9"/>
    <mergeCell ref="B11:E11"/>
    <mergeCell ref="B19:E19"/>
    <mergeCell ref="B31:E31"/>
    <mergeCell ref="B37:E37"/>
    <mergeCell ref="B46:E46"/>
    <mergeCell ref="B56:E56"/>
    <mergeCell ref="B57:E57"/>
    <mergeCell ref="B59:E5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J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
    <col collapsed="false" customWidth="true" hidden="false" outlineLevel="0" max="3" min="3" style="0" width="58"/>
    <col collapsed="false" customWidth="true" hidden="false" outlineLevel="0" max="7" min="4" style="0" width="18"/>
    <col collapsed="false" customWidth="true" hidden="false" outlineLevel="0" max="8" min="8" style="0" width="20"/>
    <col collapsed="false" customWidth="true" hidden="false" outlineLevel="0" max="10" min="9" style="0" width="34"/>
  </cols>
  <sheetData>
    <row r="2" customFormat="false" ht="43.5" hidden="false" customHeight="true" outlineLevel="0" collapsed="false">
      <c r="B2" s="19" t="s">
        <v>224</v>
      </c>
      <c r="C2" s="19"/>
      <c r="D2" s="19"/>
      <c r="E2" s="19"/>
      <c r="F2" s="19"/>
      <c r="G2" s="19"/>
      <c r="H2" s="19"/>
      <c r="I2" s="19"/>
      <c r="J2" s="19"/>
    </row>
    <row r="3" customFormat="false" ht="68.25" hidden="false" customHeight="true" outlineLevel="0" collapsed="false">
      <c r="B3" s="20" t="s">
        <v>225</v>
      </c>
      <c r="C3" s="20"/>
      <c r="D3" s="20"/>
      <c r="E3" s="20"/>
      <c r="F3" s="20"/>
      <c r="G3" s="20"/>
      <c r="H3" s="20"/>
      <c r="I3" s="20"/>
      <c r="J3" s="20"/>
    </row>
    <row r="5" customFormat="false" ht="60" hidden="false" customHeight="true" outlineLevel="0" collapsed="false">
      <c r="B5" s="9" t="s">
        <v>152</v>
      </c>
      <c r="C5" s="9" t="s">
        <v>226</v>
      </c>
      <c r="D5" s="9" t="s">
        <v>227</v>
      </c>
      <c r="E5" s="9" t="s">
        <v>228</v>
      </c>
      <c r="F5" s="9" t="s">
        <v>229</v>
      </c>
      <c r="G5" s="9" t="s">
        <v>230</v>
      </c>
      <c r="H5" s="9" t="s">
        <v>231</v>
      </c>
      <c r="I5" s="9" t="s">
        <v>232</v>
      </c>
      <c r="J5" s="9" t="s">
        <v>155</v>
      </c>
    </row>
    <row r="6" customFormat="false" ht="30" hidden="false" customHeight="true" outlineLevel="0" collapsed="false">
      <c r="B6" s="21" t="s">
        <v>233</v>
      </c>
      <c r="C6" s="22" t="s">
        <v>234</v>
      </c>
      <c r="D6" s="23" t="n">
        <f aca="false">E19</f>
        <v>0</v>
      </c>
      <c r="E6" s="23" t="n">
        <f aca="false">F19</f>
        <v>0</v>
      </c>
      <c r="F6" s="23" t="n">
        <f aca="false">G19</f>
        <v>0</v>
      </c>
      <c r="G6" s="24"/>
      <c r="H6" s="25" t="s">
        <v>235</v>
      </c>
      <c r="I6" s="26"/>
      <c r="J6" s="26"/>
    </row>
    <row r="7" customFormat="false" ht="30" hidden="false" customHeight="true" outlineLevel="0" collapsed="false">
      <c r="B7" s="27" t="s">
        <v>236</v>
      </c>
      <c r="C7" s="28" t="s">
        <v>237</v>
      </c>
      <c r="D7" s="29"/>
      <c r="E7" s="29"/>
      <c r="F7" s="29"/>
      <c r="G7" s="29"/>
      <c r="H7" s="29"/>
      <c r="I7" s="29"/>
      <c r="J7" s="29"/>
    </row>
    <row r="8" customFormat="false" ht="30" hidden="false" customHeight="true" outlineLevel="0" collapsed="false">
      <c r="B8" s="21" t="s">
        <v>238</v>
      </c>
      <c r="C8" s="10" t="s">
        <v>239</v>
      </c>
      <c r="D8" s="24"/>
      <c r="E8" s="24"/>
      <c r="F8" s="24"/>
      <c r="G8" s="24"/>
      <c r="H8" s="30" t="n">
        <f aca="false">SUM(D8:F8)</f>
        <v>0</v>
      </c>
      <c r="I8" s="26"/>
      <c r="J8" s="26"/>
    </row>
    <row r="9" customFormat="false" ht="48" hidden="false" customHeight="true" outlineLevel="0" collapsed="false">
      <c r="B9" s="21" t="s">
        <v>240</v>
      </c>
      <c r="C9" s="10" t="s">
        <v>241</v>
      </c>
      <c r="D9" s="24"/>
      <c r="E9" s="24"/>
      <c r="F9" s="24"/>
      <c r="G9" s="24"/>
      <c r="H9" s="30" t="n">
        <f aca="false">SUM(D9:F9)</f>
        <v>0</v>
      </c>
      <c r="I9" s="26"/>
      <c r="J9" s="26"/>
    </row>
    <row r="10" customFormat="false" ht="30" hidden="false" customHeight="true" outlineLevel="0" collapsed="false">
      <c r="B10" s="21" t="s">
        <v>242</v>
      </c>
      <c r="C10" s="10" t="s">
        <v>243</v>
      </c>
      <c r="D10" s="24"/>
      <c r="E10" s="24"/>
      <c r="F10" s="24"/>
      <c r="G10" s="24"/>
      <c r="H10" s="30" t="n">
        <f aca="false">SUM(D10:F10)</f>
        <v>0</v>
      </c>
      <c r="I10" s="26"/>
      <c r="J10" s="26"/>
    </row>
    <row r="11" customFormat="false" ht="30" hidden="false" customHeight="true" outlineLevel="0" collapsed="false">
      <c r="B11" s="21" t="s">
        <v>244</v>
      </c>
      <c r="C11" s="10" t="s">
        <v>245</v>
      </c>
      <c r="D11" s="24"/>
      <c r="E11" s="24"/>
      <c r="F11" s="24"/>
      <c r="G11" s="24"/>
      <c r="H11" s="30" t="n">
        <f aca="false">SUM(D11:F11)</f>
        <v>0</v>
      </c>
      <c r="I11" s="26"/>
      <c r="J11" s="26"/>
    </row>
    <row r="12" customFormat="false" ht="30" hidden="false" customHeight="true" outlineLevel="0" collapsed="false">
      <c r="B12" s="21" t="s">
        <v>246</v>
      </c>
      <c r="C12" s="10" t="s">
        <v>247</v>
      </c>
      <c r="D12" s="24"/>
      <c r="E12" s="24"/>
      <c r="F12" s="24"/>
      <c r="G12" s="24"/>
      <c r="H12" s="30" t="n">
        <f aca="false">SUM(D12:F12)</f>
        <v>0</v>
      </c>
      <c r="I12" s="26"/>
      <c r="J12" s="26"/>
    </row>
    <row r="13" customFormat="false" ht="30" hidden="false" customHeight="true" outlineLevel="0" collapsed="false">
      <c r="B13" s="21" t="s">
        <v>236</v>
      </c>
      <c r="C13" s="22" t="s">
        <v>248</v>
      </c>
      <c r="D13" s="23" t="n">
        <f aca="false">SUM(D8:D12)</f>
        <v>0</v>
      </c>
      <c r="E13" s="23" t="n">
        <f aca="false">SUM(E8:E12)</f>
        <v>0</v>
      </c>
      <c r="F13" s="23" t="n">
        <f aca="false">SUM(F8:F12)</f>
        <v>0</v>
      </c>
      <c r="G13" s="23" t="n">
        <f aca="false">SUM(G8:G12)</f>
        <v>0</v>
      </c>
      <c r="H13" s="23" t="n">
        <f aca="false">SUM(H8:H12)</f>
        <v>0</v>
      </c>
      <c r="I13" s="31"/>
      <c r="J13" s="31"/>
    </row>
    <row r="14" customFormat="false" ht="30" hidden="false" customHeight="true" outlineLevel="0" collapsed="false">
      <c r="B14" s="27" t="s">
        <v>249</v>
      </c>
      <c r="C14" s="28" t="s">
        <v>250</v>
      </c>
      <c r="D14" s="29"/>
      <c r="E14" s="29"/>
      <c r="F14" s="29"/>
      <c r="G14" s="29"/>
      <c r="H14" s="29"/>
      <c r="I14" s="29"/>
      <c r="J14" s="29"/>
    </row>
    <row r="15" customFormat="false" ht="30" hidden="false" customHeight="true" outlineLevel="0" collapsed="false">
      <c r="B15" s="21" t="s">
        <v>251</v>
      </c>
      <c r="C15" s="10" t="s">
        <v>252</v>
      </c>
      <c r="D15" s="24"/>
      <c r="E15" s="24"/>
      <c r="F15" s="24"/>
      <c r="G15" s="24"/>
      <c r="H15" s="30" t="n">
        <f aca="false">SUM(D15:F15)</f>
        <v>0</v>
      </c>
      <c r="I15" s="26"/>
      <c r="J15" s="26"/>
    </row>
    <row r="16" customFormat="false" ht="30" hidden="false" customHeight="true" outlineLevel="0" collapsed="false">
      <c r="B16" s="21" t="s">
        <v>253</v>
      </c>
      <c r="C16" s="10" t="s">
        <v>254</v>
      </c>
      <c r="D16" s="24"/>
      <c r="E16" s="24"/>
      <c r="F16" s="24"/>
      <c r="G16" s="24"/>
      <c r="H16" s="30" t="n">
        <f aca="false">SUM(D16:F16)</f>
        <v>0</v>
      </c>
      <c r="I16" s="26"/>
      <c r="J16" s="26"/>
    </row>
    <row r="17" customFormat="false" ht="48" hidden="false" customHeight="true" outlineLevel="0" collapsed="false">
      <c r="B17" s="21" t="s">
        <v>255</v>
      </c>
      <c r="C17" s="10" t="s">
        <v>256</v>
      </c>
      <c r="D17" s="24"/>
      <c r="E17" s="24"/>
      <c r="F17" s="24"/>
      <c r="G17" s="24"/>
      <c r="H17" s="30" t="n">
        <f aca="false">SUM(D17:F17)</f>
        <v>0</v>
      </c>
      <c r="I17" s="26"/>
      <c r="J17" s="26"/>
    </row>
    <row r="18" customFormat="false" ht="30" hidden="false" customHeight="true" outlineLevel="0" collapsed="false">
      <c r="B18" s="21" t="s">
        <v>249</v>
      </c>
      <c r="C18" s="22" t="s">
        <v>257</v>
      </c>
      <c r="D18" s="23" t="n">
        <f aca="false">SUM(D15:D17)</f>
        <v>0</v>
      </c>
      <c r="E18" s="23" t="n">
        <f aca="false">SUM(E15:E17)</f>
        <v>0</v>
      </c>
      <c r="F18" s="23" t="n">
        <f aca="false">SUM(F15:F17)</f>
        <v>0</v>
      </c>
      <c r="G18" s="23" t="n">
        <f aca="false">SUM(G15:G17)</f>
        <v>0</v>
      </c>
      <c r="H18" s="23" t="n">
        <f aca="false">SUM(H15:H17)</f>
        <v>0</v>
      </c>
      <c r="I18" s="31"/>
      <c r="J18" s="31"/>
    </row>
    <row r="19" customFormat="false" ht="51" hidden="false" customHeight="true" outlineLevel="0" collapsed="false">
      <c r="B19" s="32" t="s">
        <v>258</v>
      </c>
      <c r="C19" s="33" t="s">
        <v>259</v>
      </c>
      <c r="D19" s="34" t="n">
        <f aca="false">D6+D13-D18</f>
        <v>0</v>
      </c>
      <c r="E19" s="34" t="n">
        <f aca="false">E6+E13-E18</f>
        <v>0</v>
      </c>
      <c r="F19" s="34" t="n">
        <f aca="false">F6+F13-F18</f>
        <v>0</v>
      </c>
      <c r="G19" s="34" t="n">
        <f aca="false">G6+G13-G18</f>
        <v>0</v>
      </c>
      <c r="H19" s="9" t="s">
        <v>235</v>
      </c>
      <c r="I19" s="35"/>
      <c r="J19" s="35"/>
    </row>
    <row r="21" customFormat="false" ht="30" hidden="false" customHeight="true" outlineLevel="0" collapsed="false">
      <c r="B21" s="27" t="s">
        <v>260</v>
      </c>
      <c r="C21" s="28" t="s">
        <v>261</v>
      </c>
      <c r="D21" s="29"/>
      <c r="E21" s="29"/>
      <c r="F21" s="29"/>
      <c r="G21" s="29"/>
      <c r="H21" s="29"/>
      <c r="I21" s="29"/>
      <c r="J21" s="29"/>
    </row>
    <row r="22" customFormat="false" ht="48" hidden="false" customHeight="true" outlineLevel="0" collapsed="false">
      <c r="B22" s="21" t="s">
        <v>262</v>
      </c>
      <c r="C22" s="10" t="s">
        <v>263</v>
      </c>
      <c r="D22" s="24"/>
      <c r="E22" s="24"/>
      <c r="F22" s="24"/>
      <c r="G22" s="24"/>
      <c r="H22" s="31"/>
      <c r="I22" s="26"/>
      <c r="J22" s="26"/>
    </row>
    <row r="23" customFormat="false" ht="48" hidden="false" customHeight="true" outlineLevel="0" collapsed="false">
      <c r="B23" s="21" t="s">
        <v>264</v>
      </c>
      <c r="C23" s="22" t="s">
        <v>265</v>
      </c>
      <c r="D23" s="23" t="str">
        <f aca="false">IF(D22="","-",D19-D22)</f>
        <v>-</v>
      </c>
      <c r="E23" s="23" t="str">
        <f aca="false">IF(E22="","-",E19-E22)</f>
        <v>-</v>
      </c>
      <c r="F23" s="23" t="str">
        <f aca="false">IF(F22="","-",F19-F22)</f>
        <v>-</v>
      </c>
      <c r="G23" s="23" t="str">
        <f aca="false">IF(G22="","-",G19-G22)</f>
        <v>-</v>
      </c>
      <c r="H23" s="31"/>
      <c r="I23" s="31"/>
      <c r="J23" s="31"/>
    </row>
    <row r="24" customFormat="false" ht="39.75" hidden="false" customHeight="true" outlineLevel="0" collapsed="false">
      <c r="B24" s="21" t="s">
        <v>266</v>
      </c>
      <c r="C24" s="22" t="s">
        <v>267</v>
      </c>
      <c r="D24" s="36" t="str">
        <f aca="false">IF(D22="","Enter audited figure",IF(ABS(D23)&lt;0.01,"Matches audited BS","Check difference"))</f>
        <v>Enter audited figure</v>
      </c>
      <c r="E24" s="36" t="str">
        <f aca="false">IF(E22="","Enter audited figure",IF(ABS(E23)&lt;0.01,"Matches audited BS","Check difference"))</f>
        <v>Enter audited figure</v>
      </c>
      <c r="F24" s="36" t="str">
        <f aca="false">IF(F22="","Enter audited figure",IF(ABS(F23)&lt;0.01,"Matches audited BS","Check difference"))</f>
        <v>Enter audited figure</v>
      </c>
      <c r="G24" s="36" t="str">
        <f aca="false">IF(G22="","Enter audited figure",IF(ABS(G23)&lt;0.01,"Matches audited BS","Check difference"))</f>
        <v>Enter audited figure</v>
      </c>
      <c r="H24" s="31"/>
      <c r="I24" s="31"/>
      <c r="J24" s="31"/>
    </row>
    <row r="25" customFormat="false" ht="48" hidden="false" customHeight="true" outlineLevel="0" collapsed="false">
      <c r="B25" s="21" t="s">
        <v>268</v>
      </c>
      <c r="C25" s="10" t="s">
        <v>269</v>
      </c>
      <c r="D25" s="24"/>
      <c r="E25" s="24"/>
      <c r="F25" s="24"/>
      <c r="G25" s="24"/>
      <c r="H25" s="31"/>
      <c r="I25" s="26"/>
      <c r="J25" s="26"/>
    </row>
    <row r="27" customFormat="false" ht="45" hidden="false" customHeight="true" outlineLevel="0" collapsed="false">
      <c r="B27" s="37" t="s">
        <v>270</v>
      </c>
      <c r="C27" s="37"/>
      <c r="D27" s="37"/>
      <c r="E27" s="37"/>
      <c r="F27" s="37"/>
      <c r="G27" s="37"/>
      <c r="H27" s="37"/>
      <c r="I27" s="37"/>
      <c r="J27" s="37"/>
    </row>
  </sheetData>
  <mergeCells count="3">
    <mergeCell ref="B2:J2"/>
    <mergeCell ref="B3:J3"/>
    <mergeCell ref="B27:J27"/>
  </mergeCells>
  <conditionalFormatting sqref="D24:G24">
    <cfRule type="cellIs" priority="2" operator="equal" aboveAverage="0" equalAverage="0" bottom="0" percent="0" rank="0" text="" dxfId="0">
      <formula>"Matches audited BS"</formula>
    </cfRule>
    <cfRule type="cellIs" priority="3" operator="equal" aboveAverage="0" equalAverage="0" bottom="0" percent="0" rank="0" text="" dxfId="1">
      <formula>"Check difference"</formula>
    </cfRule>
  </conditionalFormatting>
  <dataValidations count="1">
    <dataValidation allowBlank="false" error="Enter a non-negative amount in INR Lakhs." errorStyle="stop" operator="greaterThanOrEqual" showDropDown="false" showErrorMessage="true" showInputMessage="false" sqref="G6 D8:G12 D15:G17 D22:G22 D25:G25"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J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
    <col collapsed="false" customWidth="true" hidden="false" outlineLevel="0" max="3" min="3" style="0" width="58"/>
    <col collapsed="false" customWidth="true" hidden="false" outlineLevel="0" max="7" min="4" style="0" width="18"/>
    <col collapsed="false" customWidth="true" hidden="false" outlineLevel="0" max="8" min="8" style="0" width="20"/>
    <col collapsed="false" customWidth="true" hidden="false" outlineLevel="0" max="10" min="9" style="0" width="34"/>
  </cols>
  <sheetData>
    <row r="2" customFormat="false" ht="43.5" hidden="false" customHeight="true" outlineLevel="0" collapsed="false">
      <c r="B2" s="19" t="s">
        <v>271</v>
      </c>
      <c r="C2" s="19"/>
      <c r="D2" s="19"/>
      <c r="E2" s="19"/>
      <c r="F2" s="19"/>
      <c r="G2" s="19"/>
      <c r="H2" s="19"/>
      <c r="I2" s="19"/>
      <c r="J2" s="19"/>
    </row>
    <row r="3" customFormat="false" ht="68.25" hidden="false" customHeight="true" outlineLevel="0" collapsed="false">
      <c r="B3" s="20" t="s">
        <v>272</v>
      </c>
      <c r="C3" s="20"/>
      <c r="D3" s="20"/>
      <c r="E3" s="20"/>
      <c r="F3" s="20"/>
      <c r="G3" s="20"/>
      <c r="H3" s="20"/>
      <c r="I3" s="20"/>
      <c r="J3" s="20"/>
    </row>
    <row r="5" customFormat="false" ht="60" hidden="false" customHeight="true" outlineLevel="0" collapsed="false">
      <c r="B5" s="9" t="s">
        <v>152</v>
      </c>
      <c r="C5" s="9" t="s">
        <v>273</v>
      </c>
      <c r="D5" s="9" t="s">
        <v>274</v>
      </c>
      <c r="E5" s="9" t="s">
        <v>275</v>
      </c>
      <c r="F5" s="9" t="s">
        <v>276</v>
      </c>
      <c r="G5" s="9" t="s">
        <v>277</v>
      </c>
      <c r="H5" s="9" t="s">
        <v>278</v>
      </c>
      <c r="I5" s="9" t="s">
        <v>232</v>
      </c>
      <c r="J5" s="9" t="s">
        <v>155</v>
      </c>
    </row>
    <row r="6" customFormat="false" ht="30" hidden="false" customHeight="true" outlineLevel="0" collapsed="false">
      <c r="B6" s="21" t="s">
        <v>101</v>
      </c>
      <c r="C6" s="10" t="s">
        <v>156</v>
      </c>
      <c r="D6" s="24"/>
      <c r="E6" s="24"/>
      <c r="F6" s="24"/>
      <c r="G6" s="24"/>
      <c r="H6" s="30" t="n">
        <f aca="false">IFERROR(AVERAGE(D6:F6),0)</f>
        <v>0</v>
      </c>
      <c r="I6" s="26"/>
      <c r="J6" s="26"/>
    </row>
    <row r="7" customFormat="false" ht="48" hidden="false" customHeight="true" outlineLevel="0" collapsed="false">
      <c r="B7" s="21" t="s">
        <v>104</v>
      </c>
      <c r="C7" s="10" t="s">
        <v>279</v>
      </c>
      <c r="D7" s="24"/>
      <c r="E7" s="24"/>
      <c r="F7" s="24"/>
      <c r="G7" s="24"/>
      <c r="H7" s="30" t="n">
        <f aca="false">IFERROR(AVERAGE(D7:F7),0)</f>
        <v>0</v>
      </c>
      <c r="I7" s="26"/>
      <c r="J7" s="26"/>
    </row>
    <row r="8" customFormat="false" ht="48" hidden="false" customHeight="true" outlineLevel="0" collapsed="false">
      <c r="B8" s="21" t="s">
        <v>108</v>
      </c>
      <c r="C8" s="10" t="s">
        <v>162</v>
      </c>
      <c r="D8" s="24"/>
      <c r="E8" s="24"/>
      <c r="F8" s="24"/>
      <c r="G8" s="24"/>
      <c r="H8" s="30" t="n">
        <f aca="false">IFERROR(AVERAGE(D8:F8),0)</f>
        <v>0</v>
      </c>
      <c r="I8" s="26"/>
      <c r="J8" s="26"/>
    </row>
    <row r="9" customFormat="false" ht="30" hidden="false" customHeight="true" outlineLevel="0" collapsed="false">
      <c r="B9" s="21" t="s">
        <v>111</v>
      </c>
      <c r="C9" s="10" t="s">
        <v>165</v>
      </c>
      <c r="D9" s="24"/>
      <c r="E9" s="24"/>
      <c r="F9" s="24"/>
      <c r="G9" s="24"/>
      <c r="H9" s="30" t="n">
        <f aca="false">IFERROR(AVERAGE(D9:F9),0)</f>
        <v>0</v>
      </c>
      <c r="I9" s="26"/>
      <c r="J9" s="26"/>
    </row>
    <row r="10" customFormat="false" ht="30" hidden="false" customHeight="true" outlineLevel="0" collapsed="false">
      <c r="B10" s="21" t="s">
        <v>115</v>
      </c>
      <c r="C10" s="10" t="s">
        <v>168</v>
      </c>
      <c r="D10" s="24"/>
      <c r="E10" s="24"/>
      <c r="F10" s="24"/>
      <c r="G10" s="24"/>
      <c r="H10" s="30" t="n">
        <f aca="false">IFERROR(AVERAGE(D10:F10),0)</f>
        <v>0</v>
      </c>
      <c r="I10" s="26"/>
      <c r="J10" s="26"/>
    </row>
    <row r="11" customFormat="false" ht="30" hidden="false" customHeight="true" outlineLevel="0" collapsed="false">
      <c r="B11" s="21" t="s">
        <v>118</v>
      </c>
      <c r="C11" s="10" t="s">
        <v>280</v>
      </c>
      <c r="D11" s="24"/>
      <c r="E11" s="24"/>
      <c r="F11" s="24"/>
      <c r="G11" s="24"/>
      <c r="H11" s="30" t="n">
        <f aca="false">IFERROR(AVERAGE(D11:F11),0)</f>
        <v>0</v>
      </c>
      <c r="I11" s="26"/>
      <c r="J11" s="26"/>
    </row>
    <row r="12" customFormat="false" ht="33.75" hidden="false" customHeight="true" outlineLevel="0" collapsed="false">
      <c r="B12" s="32" t="s">
        <v>281</v>
      </c>
      <c r="C12" s="33" t="s">
        <v>282</v>
      </c>
      <c r="D12" s="34" t="n">
        <f aca="false">SUM(D6:D11)</f>
        <v>0</v>
      </c>
      <c r="E12" s="34" t="n">
        <f aca="false">SUM(E6:E11)</f>
        <v>0</v>
      </c>
      <c r="F12" s="34" t="n">
        <f aca="false">SUM(F6:F11)</f>
        <v>0</v>
      </c>
      <c r="G12" s="34" t="n">
        <f aca="false">SUM(G6:G11)</f>
        <v>0</v>
      </c>
      <c r="H12" s="34" t="n">
        <f aca="false">SUM(H6:H11)</f>
        <v>0</v>
      </c>
      <c r="I12" s="35"/>
      <c r="J12" s="35"/>
    </row>
    <row r="14" customFormat="false" ht="30" hidden="false" customHeight="true" outlineLevel="0" collapsed="false">
      <c r="B14" s="27" t="s">
        <v>283</v>
      </c>
      <c r="C14" s="28" t="s">
        <v>284</v>
      </c>
      <c r="D14" s="29"/>
      <c r="E14" s="29"/>
      <c r="F14" s="29"/>
      <c r="G14" s="29"/>
      <c r="H14" s="29"/>
      <c r="I14" s="29"/>
      <c r="J14" s="29"/>
    </row>
    <row r="15" customFormat="false" ht="48" hidden="false" customHeight="true" outlineLevel="0" collapsed="false">
      <c r="B15" s="21" t="s">
        <v>285</v>
      </c>
      <c r="C15" s="10" t="s">
        <v>286</v>
      </c>
      <c r="D15" s="38"/>
      <c r="E15" s="38"/>
      <c r="F15" s="38"/>
      <c r="G15" s="38"/>
      <c r="H15" s="31"/>
      <c r="I15" s="26"/>
      <c r="J15" s="26"/>
    </row>
    <row r="16" customFormat="false" ht="48" hidden="false" customHeight="true" outlineLevel="0" collapsed="false">
      <c r="B16" s="21" t="s">
        <v>287</v>
      </c>
      <c r="C16" s="10" t="s">
        <v>288</v>
      </c>
      <c r="D16" s="24"/>
      <c r="E16" s="24"/>
      <c r="F16" s="24"/>
      <c r="G16" s="24"/>
      <c r="H16" s="30" t="n">
        <f aca="false">SUM(D16:F16)</f>
        <v>0</v>
      </c>
      <c r="I16" s="26"/>
      <c r="J16" s="26"/>
    </row>
    <row r="17" customFormat="false" ht="48" hidden="false" customHeight="true" outlineLevel="0" collapsed="false">
      <c r="B17" s="21" t="s">
        <v>289</v>
      </c>
      <c r="C17" s="10" t="s">
        <v>290</v>
      </c>
      <c r="D17" s="24"/>
      <c r="E17" s="24"/>
      <c r="F17" s="24"/>
      <c r="G17" s="24"/>
      <c r="H17" s="31"/>
      <c r="I17" s="26"/>
      <c r="J17" s="26"/>
    </row>
    <row r="18" customFormat="false" ht="39.75" hidden="false" customHeight="true" outlineLevel="0" collapsed="false">
      <c r="B18" s="21" t="s">
        <v>291</v>
      </c>
      <c r="C18" s="22" t="s">
        <v>267</v>
      </c>
      <c r="D18" s="36" t="str">
        <f aca="false">IF(D17="","Enter audited figure",IF(ABS(D12-D17)&lt;0.01,"Matches audited BS","Check difference"))</f>
        <v>Enter audited figure</v>
      </c>
      <c r="E18" s="36" t="str">
        <f aca="false">IF(E17="","Enter audited figure",IF(ABS(E12-E17)&lt;0.01,"Matches audited BS","Check difference"))</f>
        <v>Enter audited figure</v>
      </c>
      <c r="F18" s="36" t="str">
        <f aca="false">IF(F17="","Enter audited figure",IF(ABS(F12-F17)&lt;0.01,"Matches audited BS","Check difference"))</f>
        <v>Enter audited figure</v>
      </c>
      <c r="G18" s="36" t="str">
        <f aca="false">IF(G17="","Enter audited figure",IF(ABS(G12-G17)&lt;0.01,"Matches audited BS","Check difference"))</f>
        <v>Enter audited figure</v>
      </c>
      <c r="H18" s="31"/>
      <c r="I18" s="31"/>
      <c r="J18" s="31"/>
    </row>
    <row r="20" customFormat="false" ht="30" hidden="false" customHeight="true" outlineLevel="0" collapsed="false">
      <c r="B20" s="27" t="s">
        <v>292</v>
      </c>
      <c r="C20" s="28" t="s">
        <v>293</v>
      </c>
      <c r="D20" s="29"/>
      <c r="E20" s="29"/>
      <c r="F20" s="29"/>
      <c r="G20" s="29"/>
      <c r="H20" s="29"/>
      <c r="I20" s="29"/>
      <c r="J20" s="29"/>
    </row>
    <row r="21" customFormat="false" ht="30" hidden="false" customHeight="true" outlineLevel="0" collapsed="false">
      <c r="B21" s="21" t="s">
        <v>101</v>
      </c>
      <c r="C21" s="10" t="s">
        <v>294</v>
      </c>
      <c r="D21" s="39" t="str">
        <f aca="false">IF(D12=0,"-",D6/D12)</f>
        <v>-</v>
      </c>
      <c r="E21" s="39" t="str">
        <f aca="false">IF(E12=0,"-",E6/E12)</f>
        <v>-</v>
      </c>
      <c r="F21" s="39" t="str">
        <f aca="false">IF(F12=0,"-",F6/F12)</f>
        <v>-</v>
      </c>
      <c r="G21" s="39" t="str">
        <f aca="false">IF(G12=0,"-",G6/G12)</f>
        <v>-</v>
      </c>
      <c r="H21" s="31"/>
      <c r="I21" s="31"/>
      <c r="J21" s="31"/>
    </row>
    <row r="22" customFormat="false" ht="48" hidden="false" customHeight="true" outlineLevel="0" collapsed="false">
      <c r="B22" s="21" t="s">
        <v>104</v>
      </c>
      <c r="C22" s="10" t="s">
        <v>295</v>
      </c>
      <c r="D22" s="39" t="str">
        <f aca="false">IF(D12=0,"-",D7/D12)</f>
        <v>-</v>
      </c>
      <c r="E22" s="39" t="str">
        <f aca="false">IF(E12=0,"-",E7/E12)</f>
        <v>-</v>
      </c>
      <c r="F22" s="39" t="str">
        <f aca="false">IF(F12=0,"-",F7/F12)</f>
        <v>-</v>
      </c>
      <c r="G22" s="39" t="str">
        <f aca="false">IF(G12=0,"-",G7/G12)</f>
        <v>-</v>
      </c>
      <c r="H22" s="31"/>
      <c r="I22" s="31"/>
      <c r="J22" s="31"/>
    </row>
    <row r="23" customFormat="false" ht="48" hidden="false" customHeight="true" outlineLevel="0" collapsed="false">
      <c r="B23" s="21" t="s">
        <v>108</v>
      </c>
      <c r="C23" s="10" t="s">
        <v>296</v>
      </c>
      <c r="D23" s="39" t="str">
        <f aca="false">IF(D12=0,"-",D8/D12)</f>
        <v>-</v>
      </c>
      <c r="E23" s="39" t="str">
        <f aca="false">IF(E12=0,"-",E8/E12)</f>
        <v>-</v>
      </c>
      <c r="F23" s="39" t="str">
        <f aca="false">IF(F12=0,"-",F8/F12)</f>
        <v>-</v>
      </c>
      <c r="G23" s="39" t="str">
        <f aca="false">IF(G12=0,"-",G8/G12)</f>
        <v>-</v>
      </c>
      <c r="H23" s="31"/>
      <c r="I23" s="31"/>
      <c r="J23" s="31"/>
    </row>
    <row r="24" customFormat="false" ht="48" hidden="false" customHeight="true" outlineLevel="0" collapsed="false">
      <c r="B24" s="21" t="s">
        <v>111</v>
      </c>
      <c r="C24" s="10" t="s">
        <v>297</v>
      </c>
      <c r="D24" s="39" t="str">
        <f aca="false">IF(D12=0,"-",D9/D12)</f>
        <v>-</v>
      </c>
      <c r="E24" s="39" t="str">
        <f aca="false">IF(E12=0,"-",E9/E12)</f>
        <v>-</v>
      </c>
      <c r="F24" s="39" t="str">
        <f aca="false">IF(F12=0,"-",F9/F12)</f>
        <v>-</v>
      </c>
      <c r="G24" s="39" t="str">
        <f aca="false">IF(G12=0,"-",G9/G12)</f>
        <v>-</v>
      </c>
      <c r="H24" s="31"/>
      <c r="I24" s="31"/>
      <c r="J24" s="31"/>
    </row>
    <row r="25" customFormat="false" ht="30" hidden="false" customHeight="true" outlineLevel="0" collapsed="false">
      <c r="B25" s="21" t="s">
        <v>115</v>
      </c>
      <c r="C25" s="10" t="s">
        <v>298</v>
      </c>
      <c r="D25" s="39" t="str">
        <f aca="false">IF(D12=0,"-",D10/D12)</f>
        <v>-</v>
      </c>
      <c r="E25" s="39" t="str">
        <f aca="false">IF(E12=0,"-",E10/E12)</f>
        <v>-</v>
      </c>
      <c r="F25" s="39" t="str">
        <f aca="false">IF(F12=0,"-",F10/F12)</f>
        <v>-</v>
      </c>
      <c r="G25" s="39" t="str">
        <f aca="false">IF(G12=0,"-",G10/G12)</f>
        <v>-</v>
      </c>
      <c r="H25" s="31"/>
      <c r="I25" s="31"/>
      <c r="J25" s="31"/>
    </row>
    <row r="26" customFormat="false" ht="30" hidden="false" customHeight="true" outlineLevel="0" collapsed="false">
      <c r="B26" s="21" t="s">
        <v>118</v>
      </c>
      <c r="C26" s="10" t="s">
        <v>299</v>
      </c>
      <c r="D26" s="39" t="str">
        <f aca="false">IF(D12=0,"-",D11/D12)</f>
        <v>-</v>
      </c>
      <c r="E26" s="39" t="str">
        <f aca="false">IF(E12=0,"-",E11/E12)</f>
        <v>-</v>
      </c>
      <c r="F26" s="39" t="str">
        <f aca="false">IF(F12=0,"-",F11/F12)</f>
        <v>-</v>
      </c>
      <c r="G26" s="39" t="str">
        <f aca="false">IF(G12=0,"-",G11/G12)</f>
        <v>-</v>
      </c>
      <c r="H26" s="31"/>
      <c r="I26" s="31"/>
      <c r="J26" s="31"/>
    </row>
    <row r="28" customFormat="false" ht="45" hidden="false" customHeight="true" outlineLevel="0" collapsed="false">
      <c r="B28" s="37" t="s">
        <v>300</v>
      </c>
      <c r="C28" s="37"/>
      <c r="D28" s="37"/>
      <c r="E28" s="37"/>
      <c r="F28" s="37"/>
      <c r="G28" s="37"/>
      <c r="H28" s="37"/>
      <c r="I28" s="37"/>
      <c r="J28" s="37"/>
    </row>
  </sheetData>
  <mergeCells count="3">
    <mergeCell ref="B2:J2"/>
    <mergeCell ref="B3:J3"/>
    <mergeCell ref="B28:J28"/>
  </mergeCells>
  <conditionalFormatting sqref="D18:G18">
    <cfRule type="cellIs" priority="2" operator="equal" aboveAverage="0" equalAverage="0" bottom="0" percent="0" rank="0" text="" dxfId="0">
      <formula>"Matches audited BS"</formula>
    </cfRule>
    <cfRule type="cellIs" priority="3" operator="equal" aboveAverage="0" equalAverage="0" bottom="0" percent="0" rank="0" text="" dxfId="1">
      <formula>"Check difference"</formula>
    </cfRule>
  </conditionalFormatting>
  <dataValidations count="1">
    <dataValidation allowBlank="false" error="Enter a non-negative amount." errorStyle="stop" operator="greaterThanOrEqual" showDropDown="false" showErrorMessage="true" showInputMessage="false" sqref="D6:G11 D15:G17"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7"/>
    <col collapsed="false" customWidth="true" hidden="false" outlineLevel="0" max="3" min="3" style="0" width="40"/>
    <col collapsed="false" customWidth="true" hidden="false" outlineLevel="0" max="4" min="4" style="0" width="52"/>
    <col collapsed="false" customWidth="true" hidden="false" outlineLevel="0" max="5" min="5" style="0" width="30"/>
    <col collapsed="false" customWidth="true" hidden="false" outlineLevel="0" max="6" min="6" style="0" width="18"/>
    <col collapsed="false" customWidth="true" hidden="false" outlineLevel="0" max="7" min="7" style="0" width="20"/>
    <col collapsed="false" customWidth="true" hidden="false" outlineLevel="0" max="8" min="8" style="0" width="34"/>
  </cols>
  <sheetData>
    <row r="2" customFormat="false" ht="43.5" hidden="false" customHeight="true" outlineLevel="0" collapsed="false">
      <c r="B2" s="19" t="s">
        <v>301</v>
      </c>
      <c r="C2" s="19"/>
      <c r="D2" s="19"/>
      <c r="E2" s="19"/>
      <c r="F2" s="19"/>
      <c r="G2" s="19"/>
      <c r="H2" s="19"/>
    </row>
    <row r="3" customFormat="false" ht="68.25" hidden="false" customHeight="true" outlineLevel="0" collapsed="false">
      <c r="B3" s="20" t="s">
        <v>302</v>
      </c>
      <c r="C3" s="20"/>
      <c r="D3" s="20"/>
      <c r="E3" s="20"/>
      <c r="F3" s="20"/>
      <c r="G3" s="20"/>
      <c r="H3" s="20"/>
    </row>
    <row r="5" customFormat="false" ht="57.75" hidden="false" customHeight="true" outlineLevel="0" collapsed="false">
      <c r="B5" s="9" t="s">
        <v>175</v>
      </c>
      <c r="C5" s="9" t="s">
        <v>65</v>
      </c>
      <c r="D5" s="9" t="s">
        <v>303</v>
      </c>
      <c r="E5" s="9" t="s">
        <v>304</v>
      </c>
      <c r="F5" s="9" t="s">
        <v>305</v>
      </c>
      <c r="G5" s="9" t="s">
        <v>306</v>
      </c>
      <c r="H5" s="9" t="s">
        <v>307</v>
      </c>
    </row>
    <row r="6" customFormat="false" ht="64.5" hidden="false" customHeight="true" outlineLevel="0" collapsed="false">
      <c r="B6" s="40" t="n">
        <v>1</v>
      </c>
      <c r="C6" s="41" t="s">
        <v>308</v>
      </c>
      <c r="D6" s="42" t="s">
        <v>309</v>
      </c>
      <c r="E6" s="26"/>
      <c r="F6" s="26"/>
      <c r="G6" s="43" t="s">
        <v>310</v>
      </c>
      <c r="H6" s="26"/>
    </row>
    <row r="7" customFormat="false" ht="68.25" hidden="false" customHeight="true" outlineLevel="0" collapsed="false">
      <c r="B7" s="40" t="n">
        <v>2</v>
      </c>
      <c r="C7" s="41" t="s">
        <v>311</v>
      </c>
      <c r="D7" s="42" t="s">
        <v>312</v>
      </c>
      <c r="E7" s="26"/>
      <c r="F7" s="26"/>
      <c r="G7" s="43" t="s">
        <v>310</v>
      </c>
      <c r="H7" s="26"/>
    </row>
    <row r="8" customFormat="false" ht="68.25" hidden="false" customHeight="true" outlineLevel="0" collapsed="false">
      <c r="B8" s="40" t="n">
        <v>3</v>
      </c>
      <c r="C8" s="41" t="s">
        <v>313</v>
      </c>
      <c r="D8" s="42" t="s">
        <v>314</v>
      </c>
      <c r="E8" s="26"/>
      <c r="F8" s="26"/>
      <c r="G8" s="43" t="s">
        <v>310</v>
      </c>
      <c r="H8" s="26"/>
    </row>
    <row r="9" customFormat="false" ht="68.25" hidden="false" customHeight="true" outlineLevel="0" collapsed="false">
      <c r="B9" s="40" t="n">
        <v>4</v>
      </c>
      <c r="C9" s="41" t="s">
        <v>315</v>
      </c>
      <c r="D9" s="42" t="s">
        <v>316</v>
      </c>
      <c r="E9" s="26"/>
      <c r="F9" s="26"/>
      <c r="G9" s="43" t="s">
        <v>310</v>
      </c>
      <c r="H9" s="26"/>
    </row>
    <row r="10" customFormat="false" ht="68.25" hidden="false" customHeight="true" outlineLevel="0" collapsed="false">
      <c r="B10" s="40" t="n">
        <v>5</v>
      </c>
      <c r="C10" s="41" t="s">
        <v>317</v>
      </c>
      <c r="D10" s="42" t="s">
        <v>318</v>
      </c>
      <c r="E10" s="26"/>
      <c r="F10" s="26"/>
      <c r="G10" s="43" t="s">
        <v>310</v>
      </c>
      <c r="H10" s="26"/>
    </row>
    <row r="11" customFormat="false" ht="64.5" hidden="false" customHeight="true" outlineLevel="0" collapsed="false">
      <c r="B11" s="40" t="n">
        <v>6</v>
      </c>
      <c r="C11" s="41" t="s">
        <v>319</v>
      </c>
      <c r="D11" s="42" t="s">
        <v>320</v>
      </c>
      <c r="E11" s="26"/>
      <c r="F11" s="26"/>
      <c r="G11" s="43" t="s">
        <v>310</v>
      </c>
      <c r="H11" s="26"/>
    </row>
    <row r="12" customFormat="false" ht="68.25" hidden="false" customHeight="true" outlineLevel="0" collapsed="false">
      <c r="B12" s="40" t="n">
        <v>7</v>
      </c>
      <c r="C12" s="41" t="s">
        <v>321</v>
      </c>
      <c r="D12" s="42" t="s">
        <v>322</v>
      </c>
      <c r="E12" s="26"/>
      <c r="F12" s="26"/>
      <c r="G12" s="43" t="s">
        <v>310</v>
      </c>
      <c r="H12" s="26"/>
    </row>
    <row r="13" customFormat="false" ht="48" hidden="false" customHeight="true" outlineLevel="0" collapsed="false">
      <c r="B13" s="40" t="n">
        <v>8</v>
      </c>
      <c r="C13" s="41" t="s">
        <v>323</v>
      </c>
      <c r="D13" s="42" t="s">
        <v>324</v>
      </c>
      <c r="E13" s="26"/>
      <c r="F13" s="26"/>
      <c r="G13" s="43" t="s">
        <v>310</v>
      </c>
      <c r="H13" s="26"/>
    </row>
    <row r="14" customFormat="false" ht="64.5" hidden="false" customHeight="true" outlineLevel="0" collapsed="false">
      <c r="B14" s="40" t="n">
        <v>9</v>
      </c>
      <c r="C14" s="41" t="s">
        <v>325</v>
      </c>
      <c r="D14" s="42" t="s">
        <v>326</v>
      </c>
      <c r="E14" s="26"/>
      <c r="F14" s="26"/>
      <c r="G14" s="43" t="s">
        <v>310</v>
      </c>
      <c r="H14" s="26"/>
    </row>
    <row r="15" customFormat="false" ht="48" hidden="false" customHeight="true" outlineLevel="0" collapsed="false">
      <c r="B15" s="40" t="n">
        <v>10</v>
      </c>
      <c r="C15" s="41" t="s">
        <v>327</v>
      </c>
      <c r="D15" s="42" t="s">
        <v>328</v>
      </c>
      <c r="E15" s="26"/>
      <c r="F15" s="26"/>
      <c r="G15" s="43" t="s">
        <v>310</v>
      </c>
      <c r="H15" s="26"/>
    </row>
    <row r="16" customFormat="false" ht="48" hidden="false" customHeight="true" outlineLevel="0" collapsed="false">
      <c r="B16" s="40" t="n">
        <v>11</v>
      </c>
      <c r="C16" s="41" t="s">
        <v>329</v>
      </c>
      <c r="D16" s="42" t="s">
        <v>330</v>
      </c>
      <c r="E16" s="26"/>
      <c r="F16" s="26"/>
      <c r="G16" s="43" t="s">
        <v>310</v>
      </c>
      <c r="H16" s="26"/>
    </row>
    <row r="17" customFormat="false" ht="30" hidden="false" customHeight="true" outlineLevel="0" collapsed="false">
      <c r="B17" s="35"/>
      <c r="C17" s="44" t="s">
        <v>331</v>
      </c>
      <c r="D17" s="35"/>
      <c r="E17" s="35"/>
      <c r="F17" s="35"/>
      <c r="G17" s="9" t="str">
        <f aca="false">COUNTIF(G6:G16,"Implemented")&amp;" / "&amp;(11-COUNTIF(G6:G16,"Not applicable"))</f>
        <v>0 / 11</v>
      </c>
      <c r="H17" s="35"/>
    </row>
  </sheetData>
  <mergeCells count="2">
    <mergeCell ref="B2:H2"/>
    <mergeCell ref="B3:H3"/>
  </mergeCells>
  <conditionalFormatting sqref="G6:G16">
    <cfRule type="cellIs" priority="2" operator="equal" aboveAverage="0" equalAverage="0" bottom="0" percent="0" rank="0" text="" dxfId="2">
      <formula>"Implemented"</formula>
    </cfRule>
    <cfRule type="cellIs" priority="3" operator="equal" aboveAverage="0" equalAverage="0" bottom="0" percent="0" rank="0" text="" dxfId="3">
      <formula>"Planned"</formula>
    </cfRule>
  </conditionalFormatting>
  <dataValidations count="1">
    <dataValidation allowBlank="true" errorStyle="stop" operator="between" showDropDown="false" showErrorMessage="false" showInputMessage="false" sqref="G6:G16" type="list">
      <formula1>"Implemented,In progress,Planned,Not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H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
    <col collapsed="false" customWidth="true" hidden="false" outlineLevel="0" max="3" min="3" style="0" width="62"/>
    <col collapsed="false" customWidth="true" hidden="false" outlineLevel="0" max="7" min="4" style="0" width="20"/>
    <col collapsed="false" customWidth="true" hidden="false" outlineLevel="0" max="8" min="8" style="0" width="24"/>
  </cols>
  <sheetData>
    <row r="2" customFormat="false" ht="43.5" hidden="false" customHeight="true" outlineLevel="0" collapsed="false">
      <c r="B2" s="19" t="s">
        <v>332</v>
      </c>
      <c r="C2" s="19"/>
      <c r="D2" s="19"/>
      <c r="E2" s="19"/>
      <c r="F2" s="19"/>
      <c r="G2" s="19"/>
      <c r="H2" s="19"/>
    </row>
    <row r="3" customFormat="false" ht="48" hidden="false" customHeight="true" outlineLevel="0" collapsed="false">
      <c r="B3" s="20" t="s">
        <v>333</v>
      </c>
      <c r="C3" s="20"/>
      <c r="D3" s="20"/>
      <c r="E3" s="20"/>
      <c r="F3" s="20"/>
      <c r="G3" s="20"/>
      <c r="H3" s="20"/>
    </row>
    <row r="5" customFormat="false" ht="30" hidden="false" customHeight="true" outlineLevel="0" collapsed="false">
      <c r="B5" s="7" t="s">
        <v>334</v>
      </c>
      <c r="C5" s="7"/>
      <c r="D5" s="7"/>
      <c r="E5" s="7"/>
      <c r="F5" s="7"/>
      <c r="G5" s="7"/>
      <c r="H5" s="7"/>
    </row>
    <row r="6" customFormat="false" ht="57.75" hidden="false" customHeight="true" outlineLevel="0" collapsed="false">
      <c r="B6" s="9" t="s">
        <v>64</v>
      </c>
      <c r="C6" s="9" t="s">
        <v>65</v>
      </c>
      <c r="D6" s="9" t="s">
        <v>335</v>
      </c>
      <c r="E6" s="9"/>
      <c r="F6" s="9"/>
      <c r="G6" s="9"/>
      <c r="H6" s="9" t="s">
        <v>336</v>
      </c>
    </row>
    <row r="7" customFormat="false" ht="55.5" hidden="false" customHeight="true" outlineLevel="0" collapsed="false">
      <c r="B7" s="45" t="s">
        <v>337</v>
      </c>
      <c r="C7" s="46" t="s">
        <v>69</v>
      </c>
      <c r="D7" s="47" t="str">
        <f aca="false">IF('3. Corpus Fund'!D19&gt;0,IF(SUM('3. Corpus Fund'!D13:F13)&gt;0,"YES – Corpus created / strengthened","YES – Corpus maintained (no additions)"),"NO – No corpus balance")</f>
        <v>NO – No corpus balance</v>
      </c>
      <c r="E7" s="47"/>
      <c r="F7" s="47"/>
      <c r="G7" s="47"/>
      <c r="H7" s="48" t="s">
        <v>338</v>
      </c>
    </row>
    <row r="8" customFormat="false" ht="55.5" hidden="false" customHeight="true" outlineLevel="0" collapsed="false">
      <c r="B8" s="45" t="s">
        <v>339</v>
      </c>
      <c r="C8" s="46" t="s">
        <v>73</v>
      </c>
      <c r="D8" s="47" t="str">
        <f aca="false">IF(COUNTIF('4. Investment Portfolio'!D6:D11,"&gt;0")&gt;=2,"YES – Invested in "&amp;COUNTIF('4. Investment Portfolio'!D6:D11,"&gt;0")&amp;" categories across "&amp;'4. Investment Portfolio'!D15&amp;" banks / institutions",IF(COUNTIF('4. Investment Portfolio'!D6:D11,"&gt;0")=1,"NO – Single instrument category","NO – No investments recorded"))</f>
        <v>NO – No investments recorded</v>
      </c>
      <c r="E8" s="47"/>
      <c r="F8" s="47"/>
      <c r="G8" s="47"/>
      <c r="H8" s="48" t="s">
        <v>340</v>
      </c>
    </row>
    <row r="9" customFormat="false" ht="33.75" hidden="false" customHeight="true" outlineLevel="0" collapsed="false">
      <c r="B9" s="35"/>
      <c r="C9" s="49" t="s">
        <v>341</v>
      </c>
      <c r="D9" s="50" t="str">
        <f aca="false">(LEFT(D7,3)="YES")+(LEFT(D8,3)="YES")&amp;" of 2"</f>
        <v>0 of 2</v>
      </c>
      <c r="E9" s="50"/>
      <c r="F9" s="50"/>
      <c r="G9" s="50"/>
      <c r="H9" s="35"/>
    </row>
    <row r="11" customFormat="false" ht="30" hidden="false" customHeight="true" outlineLevel="0" collapsed="false">
      <c r="B11" s="7" t="s">
        <v>342</v>
      </c>
      <c r="C11" s="7"/>
      <c r="D11" s="7"/>
      <c r="E11" s="7"/>
      <c r="F11" s="7"/>
      <c r="G11" s="7"/>
      <c r="H11" s="7"/>
    </row>
    <row r="12" customFormat="false" ht="57.75" hidden="false" customHeight="true" outlineLevel="0" collapsed="false">
      <c r="B12" s="9" t="s">
        <v>175</v>
      </c>
      <c r="C12" s="9" t="s">
        <v>176</v>
      </c>
      <c r="D12" s="9" t="s">
        <v>227</v>
      </c>
      <c r="E12" s="9" t="s">
        <v>228</v>
      </c>
      <c r="F12" s="9" t="s">
        <v>229</v>
      </c>
      <c r="G12" s="9" t="s">
        <v>230</v>
      </c>
      <c r="H12" s="9" t="s">
        <v>343</v>
      </c>
    </row>
    <row r="13" customFormat="false" ht="30" hidden="false" customHeight="true" outlineLevel="0" collapsed="false">
      <c r="B13" s="21" t="s">
        <v>238</v>
      </c>
      <c r="C13" s="10" t="s">
        <v>344</v>
      </c>
      <c r="D13" s="51" t="n">
        <f aca="false">'3. Corpus Fund'!D6</f>
        <v>0</v>
      </c>
      <c r="E13" s="51" t="n">
        <f aca="false">'3. Corpus Fund'!E6</f>
        <v>0</v>
      </c>
      <c r="F13" s="51" t="n">
        <f aca="false">'3. Corpus Fund'!F6</f>
        <v>0</v>
      </c>
      <c r="G13" s="51" t="n">
        <f aca="false">'3. Corpus Fund'!G6</f>
        <v>0</v>
      </c>
      <c r="H13" s="52" t="s">
        <v>170</v>
      </c>
    </row>
    <row r="14" customFormat="false" ht="30" hidden="false" customHeight="true" outlineLevel="0" collapsed="false">
      <c r="B14" s="21" t="s">
        <v>240</v>
      </c>
      <c r="C14" s="10" t="s">
        <v>345</v>
      </c>
      <c r="D14" s="51" t="n">
        <f aca="false">'3. Corpus Fund'!D13</f>
        <v>0</v>
      </c>
      <c r="E14" s="51" t="n">
        <f aca="false">'3. Corpus Fund'!E13</f>
        <v>0</v>
      </c>
      <c r="F14" s="51" t="n">
        <f aca="false">'3. Corpus Fund'!F13</f>
        <v>0</v>
      </c>
      <c r="G14" s="51" t="n">
        <f aca="false">'3. Corpus Fund'!G13</f>
        <v>0</v>
      </c>
      <c r="H14" s="52" t="n">
        <f aca="false">SUM(D14:F14)</f>
        <v>0</v>
      </c>
    </row>
    <row r="15" customFormat="false" ht="30" hidden="false" customHeight="true" outlineLevel="0" collapsed="false">
      <c r="B15" s="21" t="s">
        <v>242</v>
      </c>
      <c r="C15" s="10" t="s">
        <v>346</v>
      </c>
      <c r="D15" s="51" t="n">
        <f aca="false">'3. Corpus Fund'!D18</f>
        <v>0</v>
      </c>
      <c r="E15" s="51" t="n">
        <f aca="false">'3. Corpus Fund'!E18</f>
        <v>0</v>
      </c>
      <c r="F15" s="51" t="n">
        <f aca="false">'3. Corpus Fund'!F18</f>
        <v>0</v>
      </c>
      <c r="G15" s="51" t="n">
        <f aca="false">'3. Corpus Fund'!G18</f>
        <v>0</v>
      </c>
      <c r="H15" s="52" t="n">
        <f aca="false">SUM(D15:F15)</f>
        <v>0</v>
      </c>
    </row>
    <row r="16" customFormat="false" ht="30" hidden="false" customHeight="true" outlineLevel="0" collapsed="false">
      <c r="B16" s="21" t="s">
        <v>244</v>
      </c>
      <c r="C16" s="22" t="s">
        <v>347</v>
      </c>
      <c r="D16" s="53" t="n">
        <f aca="false">'3. Corpus Fund'!D19</f>
        <v>0</v>
      </c>
      <c r="E16" s="53" t="n">
        <f aca="false">'3. Corpus Fund'!E19</f>
        <v>0</v>
      </c>
      <c r="F16" s="53" t="n">
        <f aca="false">'3. Corpus Fund'!F19</f>
        <v>0</v>
      </c>
      <c r="G16" s="53" t="n">
        <f aca="false">'3. Corpus Fund'!G19</f>
        <v>0</v>
      </c>
      <c r="H16" s="54" t="s">
        <v>170</v>
      </c>
    </row>
    <row r="17" customFormat="false" ht="30" hidden="false" customHeight="true" outlineLevel="0" collapsed="false">
      <c r="B17" s="21" t="s">
        <v>246</v>
      </c>
      <c r="C17" s="10" t="s">
        <v>348</v>
      </c>
      <c r="D17" s="39" t="str">
        <f aca="false">IF(OR(E16=0,D16=0),"-",D16/E16-1)</f>
        <v>-</v>
      </c>
      <c r="E17" s="39" t="str">
        <f aca="false">IF(OR(F16=0,E16=0),"-",E16/F16-1)</f>
        <v>-</v>
      </c>
      <c r="F17" s="39" t="str">
        <f aca="false">IF(OR(G16=0,F16=0),"-",F16/G16-1)</f>
        <v>-</v>
      </c>
      <c r="G17" s="39" t="s">
        <v>235</v>
      </c>
      <c r="H17" s="55" t="str">
        <f aca="false">IF(OR(G16=0,D16=0),"-",D16/G16-1)</f>
        <v>-</v>
      </c>
    </row>
    <row r="18" customFormat="false" ht="48" hidden="false" customHeight="true" outlineLevel="0" collapsed="false">
      <c r="B18" s="21" t="s">
        <v>349</v>
      </c>
      <c r="C18" s="22" t="s">
        <v>350</v>
      </c>
      <c r="D18" s="56" t="str">
        <f aca="false">IF(N('3. Corpus Fund'!D25)=0,"-",D16/('3. Corpus Fund'!D25/12))</f>
        <v>-</v>
      </c>
      <c r="E18" s="56" t="str">
        <f aca="false">IF(N('3. Corpus Fund'!E25)=0,"-",E16/('3. Corpus Fund'!E25/12))</f>
        <v>-</v>
      </c>
      <c r="F18" s="56" t="str">
        <f aca="false">IF(N('3. Corpus Fund'!F25)=0,"-",F16/('3. Corpus Fund'!F25/12))</f>
        <v>-</v>
      </c>
      <c r="G18" s="56" t="str">
        <f aca="false">IF(N('3. Corpus Fund'!G25)=0,"-",G16/('3. Corpus Fund'!G25/12))</f>
        <v>-</v>
      </c>
      <c r="H18" s="57" t="s">
        <v>170</v>
      </c>
    </row>
    <row r="19" customFormat="false" ht="49.5" hidden="false" customHeight="true" outlineLevel="0" collapsed="false">
      <c r="B19" s="21" t="s">
        <v>351</v>
      </c>
      <c r="C19" s="10" t="s">
        <v>352</v>
      </c>
      <c r="D19" s="36" t="str">
        <f aca="false">IF(N(D18)=0,"Enter data",IF(D18&lt;3,"Low (&lt; 3 months)",IF(D18&lt;=6,"Adequate (3–6 months)","Strong (&gt; 6 months)")))</f>
        <v>Enter data</v>
      </c>
      <c r="E19" s="36" t="str">
        <f aca="false">IF(N(E18)=0,"Enter data",IF(E18&lt;3,"Low (&lt; 3 months)",IF(E18&lt;=6,"Adequate (3–6 months)","Strong (&gt; 6 months)")))</f>
        <v>Enter data</v>
      </c>
      <c r="F19" s="36" t="str">
        <f aca="false">IF(N(F18)=0,"Enter data",IF(F18&lt;3,"Low (&lt; 3 months)",IF(F18&lt;=6,"Adequate (3–6 months)","Strong (&gt; 6 months)")))</f>
        <v>Enter data</v>
      </c>
      <c r="G19" s="36" t="str">
        <f aca="false">IF(N(G18)=0,"Enter data",IF(G18&lt;3,"Low (&lt; 3 months)",IF(G18&lt;=6,"Adequate (3–6 months)","Strong (&gt; 6 months)")))</f>
        <v>Enter data</v>
      </c>
      <c r="H19" s="29"/>
    </row>
    <row r="20" customFormat="false" ht="24.75" hidden="false" customHeight="true" outlineLevel="0" collapsed="false">
      <c r="B20" s="58" t="s">
        <v>353</v>
      </c>
      <c r="C20" s="58"/>
      <c r="D20" s="58"/>
      <c r="E20" s="58"/>
      <c r="F20" s="58"/>
      <c r="G20" s="58"/>
      <c r="H20" s="58"/>
    </row>
    <row r="22" customFormat="false" ht="30" hidden="false" customHeight="true" outlineLevel="0" collapsed="false">
      <c r="B22" s="7" t="s">
        <v>354</v>
      </c>
      <c r="C22" s="7"/>
      <c r="D22" s="7"/>
      <c r="E22" s="7"/>
      <c r="F22" s="7"/>
      <c r="G22" s="7"/>
      <c r="H22" s="7"/>
    </row>
    <row r="23" customFormat="false" ht="57.75" hidden="false" customHeight="true" outlineLevel="0" collapsed="false">
      <c r="B23" s="9" t="s">
        <v>175</v>
      </c>
      <c r="C23" s="9" t="s">
        <v>176</v>
      </c>
      <c r="D23" s="9" t="s">
        <v>227</v>
      </c>
      <c r="E23" s="9" t="s">
        <v>228</v>
      </c>
      <c r="F23" s="9" t="s">
        <v>229</v>
      </c>
      <c r="G23" s="9" t="s">
        <v>230</v>
      </c>
      <c r="H23" s="9" t="s">
        <v>343</v>
      </c>
    </row>
    <row r="24" customFormat="false" ht="30" hidden="false" customHeight="true" outlineLevel="0" collapsed="false">
      <c r="B24" s="21" t="s">
        <v>251</v>
      </c>
      <c r="C24" s="22" t="s">
        <v>355</v>
      </c>
      <c r="D24" s="53" t="n">
        <f aca="false">'4. Investment Portfolio'!D12</f>
        <v>0</v>
      </c>
      <c r="E24" s="53" t="n">
        <f aca="false">'4. Investment Portfolio'!E12</f>
        <v>0</v>
      </c>
      <c r="F24" s="53" t="n">
        <f aca="false">'4. Investment Portfolio'!F12</f>
        <v>0</v>
      </c>
      <c r="G24" s="53" t="n">
        <f aca="false">'4. Investment Portfolio'!G12</f>
        <v>0</v>
      </c>
      <c r="H24" s="54" t="s">
        <v>170</v>
      </c>
    </row>
    <row r="25" customFormat="false" ht="30" hidden="false" customHeight="true" outlineLevel="0" collapsed="false">
      <c r="B25" s="21" t="s">
        <v>253</v>
      </c>
      <c r="C25" s="22" t="s">
        <v>356</v>
      </c>
      <c r="D25" s="59" t="n">
        <f aca="false">COUNTIF('4. Investment Portfolio'!D6:D11,"&gt;0")</f>
        <v>0</v>
      </c>
      <c r="E25" s="59" t="n">
        <f aca="false">COUNTIF('4. Investment Portfolio'!E6:E11,"&gt;0")</f>
        <v>0</v>
      </c>
      <c r="F25" s="59" t="n">
        <f aca="false">COUNTIF('4. Investment Portfolio'!F6:F11,"&gt;0")</f>
        <v>0</v>
      </c>
      <c r="G25" s="59" t="n">
        <f aca="false">COUNTIF('4. Investment Portfolio'!G6:G11,"&gt;0")</f>
        <v>0</v>
      </c>
      <c r="H25" s="60" t="s">
        <v>170</v>
      </c>
    </row>
    <row r="26" customFormat="false" ht="30" hidden="false" customHeight="true" outlineLevel="0" collapsed="false">
      <c r="B26" s="21" t="s">
        <v>255</v>
      </c>
      <c r="C26" s="10" t="s">
        <v>357</v>
      </c>
      <c r="D26" s="61" t="n">
        <f aca="false">N('4. Investment Portfolio'!D15)</f>
        <v>0</v>
      </c>
      <c r="E26" s="61" t="n">
        <f aca="false">N('4. Investment Portfolio'!E15)</f>
        <v>0</v>
      </c>
      <c r="F26" s="61" t="n">
        <f aca="false">N('4. Investment Portfolio'!F15)</f>
        <v>0</v>
      </c>
      <c r="G26" s="61" t="n">
        <f aca="false">N('4. Investment Portfolio'!G15)</f>
        <v>0</v>
      </c>
      <c r="H26" s="62" t="s">
        <v>170</v>
      </c>
    </row>
    <row r="27" customFormat="false" ht="30" hidden="false" customHeight="true" outlineLevel="0" collapsed="false">
      <c r="B27" s="21" t="s">
        <v>358</v>
      </c>
      <c r="C27" s="10" t="s">
        <v>359</v>
      </c>
      <c r="D27" s="39" t="str">
        <f aca="false">IF(D24=0,"-",MAX('4. Investment Portfolio'!D6:D11)/D24)</f>
        <v>-</v>
      </c>
      <c r="E27" s="39" t="str">
        <f aca="false">IF(E24=0,"-",MAX('4. Investment Portfolio'!E6:E11)/E24)</f>
        <v>-</v>
      </c>
      <c r="F27" s="39" t="str">
        <f aca="false">IF(F24=0,"-",MAX('4. Investment Portfolio'!F6:F11)/F24)</f>
        <v>-</v>
      </c>
      <c r="G27" s="39" t="str">
        <f aca="false">IF(G24=0,"-",MAX('4. Investment Portfolio'!G6:G11)/G24)</f>
        <v>-</v>
      </c>
      <c r="H27" s="55" t="s">
        <v>170</v>
      </c>
    </row>
    <row r="28" customFormat="false" ht="30" hidden="false" customHeight="true" outlineLevel="0" collapsed="false">
      <c r="B28" s="21" t="s">
        <v>360</v>
      </c>
      <c r="C28" s="22" t="s">
        <v>361</v>
      </c>
      <c r="D28" s="63" t="str">
        <f aca="false">IF(D24=0,"-",1-SUMPRODUCT('4. Investment Portfolio'!D6:D11,'4. Investment Portfolio'!D6:D11)/D24^2)</f>
        <v>-</v>
      </c>
      <c r="E28" s="63" t="str">
        <f aca="false">IF(E24=0,"-",1-SUMPRODUCT('4. Investment Portfolio'!E6:E11,'4. Investment Portfolio'!E6:E11)/E24^2)</f>
        <v>-</v>
      </c>
      <c r="F28" s="63" t="str">
        <f aca="false">IF(F24=0,"-",1-SUMPRODUCT('4. Investment Portfolio'!F6:F11,'4. Investment Portfolio'!F6:F11)/F24^2)</f>
        <v>-</v>
      </c>
      <c r="G28" s="63" t="str">
        <f aca="false">IF(G24=0,"-",1-SUMPRODUCT('4. Investment Portfolio'!G6:G11,'4. Investment Portfolio'!G6:G11)/G24^2)</f>
        <v>-</v>
      </c>
      <c r="H28" s="64" t="s">
        <v>170</v>
      </c>
    </row>
    <row r="29" customFormat="false" ht="49.5" hidden="false" customHeight="true" outlineLevel="0" collapsed="false">
      <c r="B29" s="21" t="s">
        <v>362</v>
      </c>
      <c r="C29" s="10" t="s">
        <v>363</v>
      </c>
      <c r="D29" s="36" t="str">
        <f aca="false">IF(D24=0,"Enter data",IF(D28&lt;0.3,"Concentrated (&lt; 0.30)",IF(D28&lt;=0.6,"Moderate (0.30–0.60)","Well diversified (&gt; 0.60)")))</f>
        <v>Enter data</v>
      </c>
      <c r="E29" s="36" t="str">
        <f aca="false">IF(E24=0,"Enter data",IF(E28&lt;0.3,"Concentrated (&lt; 0.30)",IF(E28&lt;=0.6,"Moderate (0.30–0.60)","Well diversified (&gt; 0.60)")))</f>
        <v>Enter data</v>
      </c>
      <c r="F29" s="36" t="str">
        <f aca="false">IF(F24=0,"Enter data",IF(F28&lt;0.3,"Concentrated (&lt; 0.30)",IF(F28&lt;=0.6,"Moderate (0.30–0.60)","Well diversified (&gt; 0.60)")))</f>
        <v>Enter data</v>
      </c>
      <c r="G29" s="36" t="str">
        <f aca="false">IF(G24=0,"Enter data",IF(G28&lt;0.3,"Concentrated (&lt; 0.30)",IF(G28&lt;=0.6,"Moderate (0.30–0.60)","Well diversified (&gt; 0.60)")))</f>
        <v>Enter data</v>
      </c>
      <c r="H29" s="29"/>
    </row>
    <row r="30" customFormat="false" ht="30" hidden="false" customHeight="true" outlineLevel="0" collapsed="false">
      <c r="B30" s="21" t="s">
        <v>364</v>
      </c>
      <c r="C30" s="22" t="s">
        <v>365</v>
      </c>
      <c r="D30" s="65" t="str">
        <f aca="false">IF(D25&gt;=2,"Yes","No")</f>
        <v>No</v>
      </c>
      <c r="E30" s="65" t="str">
        <f aca="false">IF(E25&gt;=2,"Yes","No")</f>
        <v>No</v>
      </c>
      <c r="F30" s="65" t="str">
        <f aca="false">IF(F25&gt;=2,"Yes","No")</f>
        <v>No</v>
      </c>
      <c r="G30" s="65" t="str">
        <f aca="false">IF(G25&gt;=2,"Yes","No")</f>
        <v>No</v>
      </c>
      <c r="H30" s="66" t="s">
        <v>170</v>
      </c>
    </row>
    <row r="31" customFormat="false" ht="30" hidden="false" customHeight="true" outlineLevel="0" collapsed="false">
      <c r="B31" s="21" t="s">
        <v>366</v>
      </c>
      <c r="C31" s="10" t="s">
        <v>367</v>
      </c>
      <c r="D31" s="30" t="n">
        <f aca="false">'4. Investment Portfolio'!D16</f>
        <v>0</v>
      </c>
      <c r="E31" s="30" t="n">
        <f aca="false">'4. Investment Portfolio'!E16</f>
        <v>0</v>
      </c>
      <c r="F31" s="30" t="n">
        <f aca="false">'4. Investment Portfolio'!F16</f>
        <v>0</v>
      </c>
      <c r="G31" s="30" t="n">
        <f aca="false">'4. Investment Portfolio'!G16</f>
        <v>0</v>
      </c>
      <c r="H31" s="52" t="n">
        <f aca="false">SUM(D31:F31)</f>
        <v>0</v>
      </c>
    </row>
    <row r="32" customFormat="false" ht="30" hidden="false" customHeight="true" outlineLevel="0" collapsed="false">
      <c r="B32" s="21" t="s">
        <v>368</v>
      </c>
      <c r="C32" s="10" t="s">
        <v>369</v>
      </c>
      <c r="D32" s="39" t="str">
        <f aca="false">IF(D24=0,"-",D31/D24)</f>
        <v>-</v>
      </c>
      <c r="E32" s="39" t="str">
        <f aca="false">IF(E24=0,"-",E31/E24)</f>
        <v>-</v>
      </c>
      <c r="F32" s="39" t="str">
        <f aca="false">IF(F24=0,"-",F31/F24)</f>
        <v>-</v>
      </c>
      <c r="G32" s="39" t="str">
        <f aca="false">IF(G24=0,"-",G31/G24)</f>
        <v>-</v>
      </c>
      <c r="H32" s="55" t="s">
        <v>170</v>
      </c>
    </row>
    <row r="33" customFormat="false" ht="30" hidden="false" customHeight="true" outlineLevel="0" collapsed="false">
      <c r="B33" s="21" t="s">
        <v>370</v>
      </c>
      <c r="C33" s="10" t="s">
        <v>371</v>
      </c>
      <c r="D33" s="67" t="str">
        <f aca="false">IF(D16=0,"-",D24/D16)</f>
        <v>-</v>
      </c>
      <c r="E33" s="67" t="str">
        <f aca="false">IF(E16=0,"-",E24/E16)</f>
        <v>-</v>
      </c>
      <c r="F33" s="67" t="str">
        <f aca="false">IF(F16=0,"-",F24/F16)</f>
        <v>-</v>
      </c>
      <c r="G33" s="67" t="str">
        <f aca="false">IF(G16=0,"-",G24/G16)</f>
        <v>-</v>
      </c>
      <c r="H33" s="68" t="s">
        <v>170</v>
      </c>
    </row>
    <row r="35" customFormat="false" ht="30" hidden="false" customHeight="true" outlineLevel="0" collapsed="false">
      <c r="B35" s="7" t="s">
        <v>372</v>
      </c>
      <c r="C35" s="7"/>
      <c r="D35" s="7"/>
      <c r="E35" s="7"/>
      <c r="F35" s="7"/>
      <c r="G35" s="7"/>
      <c r="H35" s="7"/>
    </row>
    <row r="36" customFormat="false" ht="30" hidden="false" customHeight="true" outlineLevel="0" collapsed="false">
      <c r="B36" s="21" t="s">
        <v>373</v>
      </c>
      <c r="C36" s="22" t="s">
        <v>374</v>
      </c>
      <c r="D36" s="69" t="str">
        <f aca="false">'5. Strategies &amp; Policies'!G17</f>
        <v>0 / 11</v>
      </c>
      <c r="E36" s="69"/>
      <c r="F36" s="69"/>
      <c r="G36" s="69"/>
      <c r="H36" s="69"/>
    </row>
    <row r="38" customFormat="false" ht="30" hidden="false" customHeight="true" outlineLevel="0" collapsed="false">
      <c r="B38" s="7" t="s">
        <v>375</v>
      </c>
      <c r="C38" s="7"/>
      <c r="D38" s="7"/>
      <c r="E38" s="7"/>
      <c r="F38" s="7"/>
      <c r="G38" s="7"/>
      <c r="H38" s="7"/>
    </row>
    <row r="63" customFormat="false" ht="68.25" hidden="false" customHeight="true" outlineLevel="0" collapsed="false">
      <c r="B63" s="20" t="s">
        <v>376</v>
      </c>
      <c r="C63" s="20"/>
      <c r="D63" s="20"/>
      <c r="E63" s="20"/>
      <c r="F63" s="20"/>
      <c r="G63" s="20"/>
      <c r="H63" s="20"/>
    </row>
  </sheetData>
  <mergeCells count="14">
    <mergeCell ref="B2:H2"/>
    <mergeCell ref="B3:H3"/>
    <mergeCell ref="B5:H5"/>
    <mergeCell ref="D6:G6"/>
    <mergeCell ref="D7:G7"/>
    <mergeCell ref="D8:G8"/>
    <mergeCell ref="D9:G9"/>
    <mergeCell ref="B11:H11"/>
    <mergeCell ref="B20:H20"/>
    <mergeCell ref="B22:H22"/>
    <mergeCell ref="B35:H35"/>
    <mergeCell ref="D36:H36"/>
    <mergeCell ref="B38:H38"/>
    <mergeCell ref="B63:H63"/>
  </mergeCells>
  <conditionalFormatting sqref="D7">
    <cfRule type="expression" priority="2" aboveAverage="0" equalAverage="0" bottom="0" percent="0" rank="0" text="" dxfId="4">
      <formula>LEFT($D$7,3)="YES"</formula>
    </cfRule>
    <cfRule type="expression" priority="3" aboveAverage="0" equalAverage="0" bottom="0" percent="0" rank="0" text="" dxfId="5">
      <formula>LEFT($D$7,2)="NO"</formula>
    </cfRule>
  </conditionalFormatting>
  <conditionalFormatting sqref="D8">
    <cfRule type="expression" priority="4" aboveAverage="0" equalAverage="0" bottom="0" percent="0" rank="0" text="" dxfId="4">
      <formula>LEFT($D$8,3)="YES"</formula>
    </cfRule>
    <cfRule type="expression" priority="5" aboveAverage="0" equalAverage="0" bottom="0" percent="0" rank="0" text="" dxfId="5">
      <formula>LEFT($D$8,2)="NO"</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H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
    <col collapsed="false" customWidth="true" hidden="false" outlineLevel="0" max="3" min="3" style="0" width="58"/>
    <col collapsed="false" customWidth="true" hidden="false" outlineLevel="0" max="7" min="4" style="0" width="18"/>
    <col collapsed="false" customWidth="true" hidden="false" outlineLevel="0" max="8" min="8" style="0" width="20"/>
  </cols>
  <sheetData>
    <row r="2" customFormat="false" ht="39" hidden="false" customHeight="true" outlineLevel="0" collapsed="false">
      <c r="B2" s="70" t="s">
        <v>377</v>
      </c>
      <c r="C2" s="70"/>
      <c r="D2" s="70"/>
      <c r="E2" s="70"/>
      <c r="F2" s="70"/>
      <c r="G2" s="70"/>
      <c r="H2" s="70"/>
    </row>
    <row r="3" customFormat="false" ht="48" hidden="false" customHeight="true" outlineLevel="0" collapsed="false">
      <c r="B3" s="71" t="s">
        <v>378</v>
      </c>
      <c r="C3" s="71"/>
      <c r="D3" s="71"/>
      <c r="E3" s="71"/>
      <c r="F3" s="71"/>
      <c r="G3" s="71"/>
      <c r="H3" s="71"/>
    </row>
    <row r="5" customFormat="false" ht="30" hidden="false" customHeight="true" outlineLevel="0" collapsed="false">
      <c r="B5" s="7" t="s">
        <v>379</v>
      </c>
      <c r="C5" s="7"/>
      <c r="D5" s="7"/>
      <c r="E5" s="7"/>
      <c r="F5" s="7"/>
      <c r="G5" s="7"/>
      <c r="H5" s="7"/>
    </row>
    <row r="6" customFormat="false" ht="57.75" hidden="false" customHeight="true" outlineLevel="0" collapsed="false">
      <c r="B6" s="9" t="s">
        <v>152</v>
      </c>
      <c r="C6" s="9" t="s">
        <v>226</v>
      </c>
      <c r="D6" s="9" t="s">
        <v>227</v>
      </c>
      <c r="E6" s="9" t="s">
        <v>228</v>
      </c>
      <c r="F6" s="9" t="s">
        <v>229</v>
      </c>
      <c r="G6" s="9" t="s">
        <v>230</v>
      </c>
      <c r="H6" s="9" t="s">
        <v>343</v>
      </c>
    </row>
    <row r="7" customFormat="false" ht="30" hidden="false" customHeight="true" outlineLevel="0" collapsed="false">
      <c r="B7" s="21" t="s">
        <v>233</v>
      </c>
      <c r="C7" s="22" t="s">
        <v>380</v>
      </c>
      <c r="D7" s="23" t="n">
        <f aca="false">E14</f>
        <v>5410</v>
      </c>
      <c r="E7" s="23" t="n">
        <f aca="false">F14</f>
        <v>3950</v>
      </c>
      <c r="F7" s="23" t="n">
        <f aca="false">G14</f>
        <v>2890</v>
      </c>
      <c r="G7" s="72" t="n">
        <v>2000</v>
      </c>
      <c r="H7" s="31"/>
    </row>
    <row r="8" customFormat="false" ht="30" hidden="false" customHeight="true" outlineLevel="0" collapsed="false">
      <c r="B8" s="21" t="s">
        <v>238</v>
      </c>
      <c r="C8" s="10" t="s">
        <v>381</v>
      </c>
      <c r="D8" s="73" t="n">
        <v>1200</v>
      </c>
      <c r="E8" s="73" t="n">
        <v>1000</v>
      </c>
      <c r="F8" s="73" t="n">
        <v>700</v>
      </c>
      <c r="G8" s="73" t="n">
        <v>500</v>
      </c>
      <c r="H8" s="30" t="n">
        <f aca="false">SUM(D8:F8)</f>
        <v>2900</v>
      </c>
    </row>
    <row r="9" customFormat="false" ht="30" hidden="false" customHeight="true" outlineLevel="0" collapsed="false">
      <c r="B9" s="21" t="s">
        <v>240</v>
      </c>
      <c r="C9" s="10" t="s">
        <v>382</v>
      </c>
      <c r="D9" s="73" t="n">
        <v>300</v>
      </c>
      <c r="E9" s="73" t="n">
        <v>250</v>
      </c>
      <c r="F9" s="73" t="n">
        <v>200</v>
      </c>
      <c r="G9" s="73" t="n">
        <v>200</v>
      </c>
      <c r="H9" s="30" t="n">
        <f aca="false">SUM(D9:F9)</f>
        <v>750</v>
      </c>
    </row>
    <row r="10" customFormat="false" ht="30" hidden="false" customHeight="true" outlineLevel="0" collapsed="false">
      <c r="B10" s="21" t="s">
        <v>242</v>
      </c>
      <c r="C10" s="10" t="s">
        <v>383</v>
      </c>
      <c r="D10" s="73" t="n">
        <v>100</v>
      </c>
      <c r="E10" s="73" t="n">
        <v>80</v>
      </c>
      <c r="F10" s="73" t="n">
        <v>60</v>
      </c>
      <c r="G10" s="73" t="n">
        <v>50</v>
      </c>
      <c r="H10" s="30" t="n">
        <f aca="false">SUM(D10:F10)</f>
        <v>240</v>
      </c>
    </row>
    <row r="11" customFormat="false" ht="30" hidden="false" customHeight="true" outlineLevel="0" collapsed="false">
      <c r="B11" s="21" t="s">
        <v>244</v>
      </c>
      <c r="C11" s="10" t="s">
        <v>384</v>
      </c>
      <c r="D11" s="73" t="n">
        <v>380</v>
      </c>
      <c r="E11" s="73" t="n">
        <v>280</v>
      </c>
      <c r="F11" s="73" t="n">
        <v>200</v>
      </c>
      <c r="G11" s="73" t="n">
        <v>140</v>
      </c>
      <c r="H11" s="30" t="n">
        <f aca="false">SUM(D11:F11)</f>
        <v>860</v>
      </c>
    </row>
    <row r="12" customFormat="false" ht="30" hidden="false" customHeight="true" outlineLevel="0" collapsed="false">
      <c r="B12" s="21" t="s">
        <v>236</v>
      </c>
      <c r="C12" s="22" t="s">
        <v>248</v>
      </c>
      <c r="D12" s="23" t="n">
        <f aca="false">SUM(D8:D11)</f>
        <v>1980</v>
      </c>
      <c r="E12" s="23" t="n">
        <f aca="false">SUM(E8:E11)</f>
        <v>1610</v>
      </c>
      <c r="F12" s="23" t="n">
        <f aca="false">SUM(F8:F11)</f>
        <v>1160</v>
      </c>
      <c r="G12" s="23" t="n">
        <f aca="false">SUM(G8:G11)</f>
        <v>890</v>
      </c>
      <c r="H12" s="23" t="n">
        <f aca="false">SUM(H8:H11)</f>
        <v>4750</v>
      </c>
    </row>
    <row r="13" customFormat="false" ht="30" hidden="false" customHeight="true" outlineLevel="0" collapsed="false">
      <c r="B13" s="21" t="s">
        <v>249</v>
      </c>
      <c r="C13" s="10" t="s">
        <v>385</v>
      </c>
      <c r="D13" s="73" t="n">
        <v>200</v>
      </c>
      <c r="E13" s="73" t="n">
        <v>150</v>
      </c>
      <c r="F13" s="73" t="n">
        <v>100</v>
      </c>
      <c r="G13" s="73" t="n">
        <v>0</v>
      </c>
      <c r="H13" s="30" t="n">
        <f aca="false">SUM(D13:F13)</f>
        <v>450</v>
      </c>
    </row>
    <row r="14" customFormat="false" ht="33.75" hidden="false" customHeight="true" outlineLevel="0" collapsed="false">
      <c r="B14" s="32" t="s">
        <v>258</v>
      </c>
      <c r="C14" s="33" t="s">
        <v>386</v>
      </c>
      <c r="D14" s="34" t="n">
        <f aca="false">D7+D12-D13</f>
        <v>7190</v>
      </c>
      <c r="E14" s="34" t="n">
        <f aca="false">E7+E12-E13</f>
        <v>5410</v>
      </c>
      <c r="F14" s="34" t="n">
        <f aca="false">F7+F12-F13</f>
        <v>3950</v>
      </c>
      <c r="G14" s="34" t="n">
        <f aca="false">G7+G12-G13</f>
        <v>2890</v>
      </c>
      <c r="H14" s="35"/>
    </row>
    <row r="15" customFormat="false" ht="30" hidden="false" customHeight="true" outlineLevel="0" collapsed="false">
      <c r="B15" s="21" t="s">
        <v>260</v>
      </c>
      <c r="C15" s="10" t="s">
        <v>387</v>
      </c>
      <c r="D15" s="73" t="n">
        <v>8700</v>
      </c>
      <c r="E15" s="73" t="n">
        <v>8000</v>
      </c>
      <c r="F15" s="73" t="n">
        <v>7330</v>
      </c>
      <c r="G15" s="73" t="n">
        <v>6690</v>
      </c>
      <c r="H15" s="31"/>
    </row>
    <row r="16" customFormat="false" ht="30" hidden="false" customHeight="true" outlineLevel="0" collapsed="false">
      <c r="B16" s="21" t="s">
        <v>388</v>
      </c>
      <c r="C16" s="22" t="s">
        <v>389</v>
      </c>
      <c r="D16" s="56" t="n">
        <f aca="false">IF(D15=0,"-",D14/(D15/12))</f>
        <v>9.91724137931035</v>
      </c>
      <c r="E16" s="56" t="n">
        <f aca="false">IF(E15=0,"-",E14/(E15/12))</f>
        <v>8.115</v>
      </c>
      <c r="F16" s="56" t="n">
        <f aca="false">IF(F15=0,"-",F14/(F15/12))</f>
        <v>6.46657571623465</v>
      </c>
      <c r="G16" s="56" t="n">
        <f aca="false">IF(G15=0,"-",G14/(G15/12))</f>
        <v>5.18385650224215</v>
      </c>
      <c r="H16" s="31"/>
    </row>
    <row r="18" customFormat="false" ht="30" hidden="false" customHeight="true" outlineLevel="0" collapsed="false">
      <c r="B18" s="7" t="s">
        <v>390</v>
      </c>
      <c r="C18" s="7"/>
      <c r="D18" s="7"/>
      <c r="E18" s="7"/>
      <c r="F18" s="7"/>
      <c r="G18" s="7"/>
      <c r="H18" s="7"/>
    </row>
    <row r="19" customFormat="false" ht="57.75" hidden="false" customHeight="true" outlineLevel="0" collapsed="false">
      <c r="B19" s="9" t="s">
        <v>152</v>
      </c>
      <c r="C19" s="9" t="s">
        <v>226</v>
      </c>
      <c r="D19" s="9" t="s">
        <v>227</v>
      </c>
      <c r="E19" s="9" t="s">
        <v>228</v>
      </c>
      <c r="F19" s="9" t="s">
        <v>229</v>
      </c>
      <c r="G19" s="9" t="s">
        <v>230</v>
      </c>
      <c r="H19" s="9" t="s">
        <v>343</v>
      </c>
    </row>
    <row r="20" customFormat="false" ht="30" hidden="false" customHeight="true" outlineLevel="0" collapsed="false">
      <c r="B20" s="21" t="s">
        <v>101</v>
      </c>
      <c r="C20" s="10" t="s">
        <v>391</v>
      </c>
      <c r="D20" s="73" t="n">
        <v>4500</v>
      </c>
      <c r="E20" s="73" t="n">
        <v>4000</v>
      </c>
      <c r="F20" s="73" t="n">
        <v>3500</v>
      </c>
      <c r="G20" s="73" t="n">
        <v>3200</v>
      </c>
      <c r="H20" s="31"/>
    </row>
    <row r="21" customFormat="false" ht="30" hidden="false" customHeight="true" outlineLevel="0" collapsed="false">
      <c r="B21" s="21" t="s">
        <v>104</v>
      </c>
      <c r="C21" s="10" t="s">
        <v>159</v>
      </c>
      <c r="D21" s="73" t="n">
        <v>1500</v>
      </c>
      <c r="E21" s="73" t="n">
        <v>1100</v>
      </c>
      <c r="F21" s="73" t="n">
        <v>600</v>
      </c>
      <c r="G21" s="73" t="n">
        <v>200</v>
      </c>
      <c r="H21" s="31"/>
    </row>
    <row r="22" customFormat="false" ht="30" hidden="false" customHeight="true" outlineLevel="0" collapsed="false">
      <c r="B22" s="21" t="s">
        <v>108</v>
      </c>
      <c r="C22" s="10" t="s">
        <v>392</v>
      </c>
      <c r="D22" s="73" t="n">
        <v>800</v>
      </c>
      <c r="E22" s="73" t="n">
        <v>600</v>
      </c>
      <c r="F22" s="73" t="n">
        <v>300</v>
      </c>
      <c r="G22" s="73" t="n">
        <v>0</v>
      </c>
      <c r="H22" s="31"/>
    </row>
    <row r="23" customFormat="false" ht="30" hidden="false" customHeight="true" outlineLevel="0" collapsed="false">
      <c r="B23" s="21" t="s">
        <v>111</v>
      </c>
      <c r="C23" s="10" t="s">
        <v>393</v>
      </c>
      <c r="D23" s="73" t="n">
        <v>900</v>
      </c>
      <c r="E23" s="73" t="n">
        <v>500</v>
      </c>
      <c r="F23" s="73" t="n">
        <v>200</v>
      </c>
      <c r="G23" s="73" t="n">
        <v>0</v>
      </c>
      <c r="H23" s="31"/>
    </row>
    <row r="24" customFormat="false" ht="30" hidden="false" customHeight="true" outlineLevel="0" collapsed="false">
      <c r="B24" s="21" t="s">
        <v>115</v>
      </c>
      <c r="C24" s="10" t="s">
        <v>394</v>
      </c>
      <c r="D24" s="73" t="n">
        <v>300</v>
      </c>
      <c r="E24" s="73" t="n">
        <v>200</v>
      </c>
      <c r="F24" s="73" t="n">
        <v>100</v>
      </c>
      <c r="G24" s="73" t="n">
        <v>0</v>
      </c>
      <c r="H24" s="31"/>
    </row>
    <row r="25" customFormat="false" ht="33.75" hidden="false" customHeight="true" outlineLevel="0" collapsed="false">
      <c r="B25" s="32" t="s">
        <v>281</v>
      </c>
      <c r="C25" s="33" t="s">
        <v>395</v>
      </c>
      <c r="D25" s="34" t="n">
        <f aca="false">SUM(D20:D24)</f>
        <v>8000</v>
      </c>
      <c r="E25" s="34" t="n">
        <f aca="false">SUM(E20:E24)</f>
        <v>6400</v>
      </c>
      <c r="F25" s="34" t="n">
        <f aca="false">SUM(F20:F24)</f>
        <v>4700</v>
      </c>
      <c r="G25" s="34" t="n">
        <f aca="false">SUM(G20:G24)</f>
        <v>3400</v>
      </c>
      <c r="H25" s="35"/>
    </row>
    <row r="26" customFormat="false" ht="30" hidden="false" customHeight="true" outlineLevel="0" collapsed="false">
      <c r="B26" s="21" t="s">
        <v>285</v>
      </c>
      <c r="C26" s="10" t="s">
        <v>357</v>
      </c>
      <c r="D26" s="74" t="n">
        <v>6</v>
      </c>
      <c r="E26" s="74" t="n">
        <v>5</v>
      </c>
      <c r="F26" s="74" t="n">
        <v>4</v>
      </c>
      <c r="G26" s="74" t="n">
        <v>3</v>
      </c>
      <c r="H26" s="31"/>
    </row>
    <row r="27" customFormat="false" ht="30" hidden="false" customHeight="true" outlineLevel="0" collapsed="false">
      <c r="B27" s="21" t="s">
        <v>287</v>
      </c>
      <c r="C27" s="10" t="s">
        <v>396</v>
      </c>
      <c r="D27" s="73" t="n">
        <v>560</v>
      </c>
      <c r="E27" s="73" t="n">
        <v>450</v>
      </c>
      <c r="F27" s="73" t="n">
        <v>340</v>
      </c>
      <c r="G27" s="73" t="n">
        <v>250</v>
      </c>
      <c r="H27" s="30" t="n">
        <f aca="false">SUM(D27:F27)</f>
        <v>1350</v>
      </c>
    </row>
    <row r="29" customFormat="false" ht="30" hidden="false" customHeight="true" outlineLevel="0" collapsed="false">
      <c r="B29" s="7" t="s">
        <v>397</v>
      </c>
      <c r="C29" s="7"/>
      <c r="D29" s="7"/>
      <c r="E29" s="7"/>
      <c r="F29" s="7"/>
      <c r="G29" s="7"/>
      <c r="H29" s="7"/>
    </row>
    <row r="30" customFormat="false" ht="57.75" hidden="false" customHeight="true" outlineLevel="0" collapsed="false">
      <c r="B30" s="9" t="s">
        <v>175</v>
      </c>
      <c r="C30" s="9" t="s">
        <v>176</v>
      </c>
      <c r="D30" s="9" t="s">
        <v>227</v>
      </c>
      <c r="E30" s="9" t="s">
        <v>228</v>
      </c>
      <c r="F30" s="9" t="s">
        <v>229</v>
      </c>
      <c r="G30" s="9" t="s">
        <v>230</v>
      </c>
      <c r="H30" s="9"/>
    </row>
    <row r="31" customFormat="false" ht="30" hidden="false" customHeight="true" outlineLevel="0" collapsed="false">
      <c r="B31" s="21" t="s">
        <v>68</v>
      </c>
      <c r="C31" s="10" t="s">
        <v>398</v>
      </c>
      <c r="D31" s="39" t="n">
        <f aca="false">D14/E14-1</f>
        <v>0.32902033271719</v>
      </c>
      <c r="E31" s="39" t="n">
        <f aca="false">E14/F14-1</f>
        <v>0.369620253164557</v>
      </c>
      <c r="F31" s="39" t="n">
        <f aca="false">F14/G14-1</f>
        <v>0.366782006920415</v>
      </c>
      <c r="G31" s="39" t="s">
        <v>235</v>
      </c>
      <c r="H31" s="31"/>
    </row>
    <row r="32" customFormat="false" ht="30" hidden="false" customHeight="true" outlineLevel="0" collapsed="false">
      <c r="B32" s="21" t="s">
        <v>72</v>
      </c>
      <c r="C32" s="10" t="s">
        <v>399</v>
      </c>
      <c r="D32" s="61" t="n">
        <f aca="false">COUNTIF(D20:D24,"&gt;0")</f>
        <v>5</v>
      </c>
      <c r="E32" s="61" t="n">
        <f aca="false">COUNTIF(E20:E24,"&gt;0")</f>
        <v>5</v>
      </c>
      <c r="F32" s="61" t="n">
        <f aca="false">COUNTIF(F20:F24,"&gt;0")</f>
        <v>5</v>
      </c>
      <c r="G32" s="61" t="n">
        <f aca="false">COUNTIF(G20:G24,"&gt;0")</f>
        <v>2</v>
      </c>
      <c r="H32" s="31"/>
    </row>
    <row r="33" customFormat="false" ht="30" hidden="false" customHeight="true" outlineLevel="0" collapsed="false">
      <c r="B33" s="21" t="s">
        <v>400</v>
      </c>
      <c r="C33" s="10" t="s">
        <v>401</v>
      </c>
      <c r="D33" s="39" t="n">
        <f aca="false">MAX(D20:D24)/D25</f>
        <v>0.5625</v>
      </c>
      <c r="E33" s="39" t="n">
        <f aca="false">MAX(E20:E24)/E25</f>
        <v>0.625</v>
      </c>
      <c r="F33" s="39" t="n">
        <f aca="false">MAX(F20:F24)/F25</f>
        <v>0.74468085106383</v>
      </c>
      <c r="G33" s="39" t="n">
        <f aca="false">MAX(G20:G24)/G25</f>
        <v>0.941176470588235</v>
      </c>
      <c r="H33" s="31"/>
    </row>
    <row r="34" customFormat="false" ht="30" hidden="false" customHeight="true" outlineLevel="0" collapsed="false">
      <c r="B34" s="21" t="s">
        <v>402</v>
      </c>
      <c r="C34" s="22" t="s">
        <v>403</v>
      </c>
      <c r="D34" s="63" t="n">
        <f aca="false">1-SUMPRODUCT(D20:D24,D20:D24)/D25^2</f>
        <v>0.624375</v>
      </c>
      <c r="E34" s="63" t="n">
        <f aca="false">1-SUMPRODUCT(E20:E24,E20:E24)/E25^2</f>
        <v>0.56396484375</v>
      </c>
      <c r="F34" s="63" t="n">
        <f aca="false">1-SUMPRODUCT(F20:F24,F20:F24)/F25^2</f>
        <v>0.422815753734722</v>
      </c>
      <c r="G34" s="63" t="n">
        <f aca="false">1-SUMPRODUCT(G20:G24,G20:G24)/G25^2</f>
        <v>0.110726643598616</v>
      </c>
      <c r="H34" s="31"/>
    </row>
    <row r="35" customFormat="false" ht="30" hidden="false" customHeight="true" outlineLevel="0" collapsed="false">
      <c r="B35" s="21" t="s">
        <v>404</v>
      </c>
      <c r="C35" s="10" t="s">
        <v>405</v>
      </c>
      <c r="D35" s="39" t="n">
        <f aca="false">D27/D25</f>
        <v>0.07</v>
      </c>
      <c r="E35" s="39" t="n">
        <f aca="false">E27/E25</f>
        <v>0.0703125</v>
      </c>
      <c r="F35" s="39" t="n">
        <f aca="false">F27/F25</f>
        <v>0.0723404255319149</v>
      </c>
      <c r="G35" s="39" t="n">
        <f aca="false">G27/G25</f>
        <v>0.0735294117647059</v>
      </c>
      <c r="H35" s="31"/>
    </row>
    <row r="36" customFormat="false" ht="39.75" hidden="false" customHeight="true" outlineLevel="0" collapsed="false">
      <c r="B36" s="21" t="s">
        <v>406</v>
      </c>
      <c r="C36" s="22" t="s">
        <v>407</v>
      </c>
      <c r="D36" s="36" t="str">
        <f aca="false">IF(D14&gt;0,"(a) Yes","(a) No")&amp;"  |  "&amp;IF(COUNTIF(D20:D24,"&gt;0")&gt;=2,"(b) Yes","(b) No")</f>
        <v>(a) Yes  |  (b) Yes</v>
      </c>
      <c r="E36" s="36" t="str">
        <f aca="false">IF(E14&gt;0,"(a) Yes","(a) No")&amp;"  |  "&amp;IF(COUNTIF(E20:E24,"&gt;0")&gt;=2,"(b) Yes","(b) No")</f>
        <v>(a) Yes  |  (b) Yes</v>
      </c>
      <c r="F36" s="36" t="str">
        <f aca="false">IF(F14&gt;0,"(a) Yes","(a) No")&amp;"  |  "&amp;IF(COUNTIF(F20:F24,"&gt;0")&gt;=2,"(b) Yes","(b) No")</f>
        <v>(a) Yes  |  (b) Yes</v>
      </c>
      <c r="G36" s="36" t="str">
        <f aca="false">IF(G14&gt;0,"(a) Yes","(a) No")&amp;"  |  "&amp;IF(COUNTIF(G20:G24,"&gt;0")&gt;=2,"(b) Yes","(b) No")</f>
        <v>(a) Yes  |  (b) Yes</v>
      </c>
      <c r="H36" s="31"/>
    </row>
    <row r="38" customFormat="false" ht="30" hidden="false" customHeight="true" outlineLevel="0" collapsed="false">
      <c r="B38" s="7" t="s">
        <v>408</v>
      </c>
      <c r="C38" s="7"/>
      <c r="D38" s="7"/>
      <c r="E38" s="7"/>
      <c r="F38" s="7"/>
      <c r="G38" s="7"/>
      <c r="H38" s="7"/>
    </row>
    <row r="39" customFormat="false" ht="190.5" hidden="false" customHeight="true" outlineLevel="0" collapsed="false">
      <c r="B39" s="8" t="s">
        <v>409</v>
      </c>
      <c r="C39" s="8"/>
      <c r="D39" s="8"/>
      <c r="E39" s="8"/>
      <c r="F39" s="8"/>
      <c r="G39" s="8"/>
      <c r="H39" s="8"/>
    </row>
  </sheetData>
  <mergeCells count="7">
    <mergeCell ref="B2:H2"/>
    <mergeCell ref="B3:H3"/>
    <mergeCell ref="B5:H5"/>
    <mergeCell ref="B18:H18"/>
    <mergeCell ref="B29:H29"/>
    <mergeCell ref="B38:H38"/>
    <mergeCell ref="B39:H3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J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7"/>
    <col collapsed="false" customWidth="true" hidden="false" outlineLevel="0" max="3" min="3" style="0" width="48"/>
    <col collapsed="false" customWidth="true" hidden="false" outlineLevel="0" max="4" min="4" style="0" width="40"/>
    <col collapsed="false" customWidth="true" hidden="false" outlineLevel="0" max="8" min="5" style="0" width="15"/>
    <col collapsed="false" customWidth="true" hidden="false" outlineLevel="0" max="9" min="9" style="0" width="24"/>
    <col collapsed="false" customWidth="true" hidden="false" outlineLevel="0" max="10" min="10" style="0" width="30"/>
  </cols>
  <sheetData>
    <row r="2" customFormat="false" ht="43.5" hidden="false" customHeight="true" outlineLevel="0" collapsed="false">
      <c r="B2" s="19" t="s">
        <v>410</v>
      </c>
      <c r="C2" s="19"/>
      <c r="D2" s="19"/>
      <c r="E2" s="19"/>
      <c r="F2" s="19"/>
      <c r="G2" s="19"/>
      <c r="H2" s="19"/>
      <c r="I2" s="19"/>
      <c r="J2" s="19"/>
    </row>
    <row r="3" customFormat="false" ht="48" hidden="false" customHeight="true" outlineLevel="0" collapsed="false">
      <c r="B3" s="20" t="s">
        <v>411</v>
      </c>
      <c r="C3" s="20"/>
      <c r="D3" s="20"/>
      <c r="E3" s="20"/>
      <c r="F3" s="20"/>
      <c r="G3" s="20"/>
      <c r="H3" s="20"/>
      <c r="I3" s="20"/>
      <c r="J3" s="20"/>
    </row>
    <row r="5" customFormat="false" ht="57.75" hidden="false" customHeight="true" outlineLevel="0" collapsed="false">
      <c r="B5" s="9" t="s">
        <v>175</v>
      </c>
      <c r="C5" s="9" t="s">
        <v>412</v>
      </c>
      <c r="D5" s="9" t="s">
        <v>413</v>
      </c>
      <c r="E5" s="9" t="s">
        <v>227</v>
      </c>
      <c r="F5" s="9" t="s">
        <v>228</v>
      </c>
      <c r="G5" s="9" t="s">
        <v>229</v>
      </c>
      <c r="H5" s="9" t="s">
        <v>230</v>
      </c>
      <c r="I5" s="9" t="s">
        <v>414</v>
      </c>
      <c r="J5" s="9" t="s">
        <v>415</v>
      </c>
    </row>
    <row r="6" customFormat="false" ht="68.25" hidden="false" customHeight="true" outlineLevel="0" collapsed="false">
      <c r="B6" s="40" t="n">
        <v>1</v>
      </c>
      <c r="C6" s="10" t="s">
        <v>416</v>
      </c>
      <c r="D6" s="10" t="s">
        <v>417</v>
      </c>
      <c r="E6" s="75" t="s">
        <v>418</v>
      </c>
      <c r="F6" s="75" t="s">
        <v>418</v>
      </c>
      <c r="G6" s="75" t="s">
        <v>418</v>
      </c>
      <c r="H6" s="75" t="s">
        <v>418</v>
      </c>
      <c r="I6" s="10" t="s">
        <v>419</v>
      </c>
      <c r="J6" s="26"/>
    </row>
    <row r="7" customFormat="false" ht="68.25" hidden="false" customHeight="true" outlineLevel="0" collapsed="false">
      <c r="B7" s="40" t="n">
        <v>2</v>
      </c>
      <c r="C7" s="10" t="s">
        <v>420</v>
      </c>
      <c r="D7" s="10" t="s">
        <v>421</v>
      </c>
      <c r="E7" s="75" t="s">
        <v>418</v>
      </c>
      <c r="F7" s="75" t="s">
        <v>418</v>
      </c>
      <c r="G7" s="75" t="s">
        <v>418</v>
      </c>
      <c r="H7" s="75" t="s">
        <v>418</v>
      </c>
      <c r="I7" s="10" t="s">
        <v>49</v>
      </c>
      <c r="J7" s="26"/>
    </row>
    <row r="8" customFormat="false" ht="68.25" hidden="false" customHeight="true" outlineLevel="0" collapsed="false">
      <c r="B8" s="40" t="n">
        <v>3</v>
      </c>
      <c r="C8" s="10" t="s">
        <v>422</v>
      </c>
      <c r="D8" s="10" t="s">
        <v>423</v>
      </c>
      <c r="E8" s="75" t="s">
        <v>418</v>
      </c>
      <c r="F8" s="75" t="s">
        <v>418</v>
      </c>
      <c r="G8" s="75" t="s">
        <v>418</v>
      </c>
      <c r="H8" s="75" t="s">
        <v>418</v>
      </c>
      <c r="I8" s="10" t="s">
        <v>419</v>
      </c>
      <c r="J8" s="26"/>
    </row>
    <row r="9" customFormat="false" ht="48" hidden="false" customHeight="true" outlineLevel="0" collapsed="false">
      <c r="B9" s="40" t="n">
        <v>4</v>
      </c>
      <c r="C9" s="10" t="s">
        <v>424</v>
      </c>
      <c r="D9" s="10" t="s">
        <v>425</v>
      </c>
      <c r="E9" s="75" t="s">
        <v>418</v>
      </c>
      <c r="F9" s="75" t="s">
        <v>418</v>
      </c>
      <c r="G9" s="75" t="s">
        <v>418</v>
      </c>
      <c r="H9" s="75" t="s">
        <v>418</v>
      </c>
      <c r="I9" s="10" t="s">
        <v>426</v>
      </c>
      <c r="J9" s="26"/>
    </row>
    <row r="10" customFormat="false" ht="48" hidden="false" customHeight="true" outlineLevel="0" collapsed="false">
      <c r="B10" s="40" t="n">
        <v>5</v>
      </c>
      <c r="C10" s="10" t="s">
        <v>427</v>
      </c>
      <c r="D10" s="10" t="s">
        <v>428</v>
      </c>
      <c r="E10" s="75" t="s">
        <v>418</v>
      </c>
      <c r="F10" s="75" t="s">
        <v>418</v>
      </c>
      <c r="G10" s="75" t="s">
        <v>418</v>
      </c>
      <c r="H10" s="75" t="s">
        <v>418</v>
      </c>
      <c r="I10" s="10" t="s">
        <v>419</v>
      </c>
      <c r="J10" s="26"/>
    </row>
    <row r="11" customFormat="false" ht="48" hidden="false" customHeight="true" outlineLevel="0" collapsed="false">
      <c r="B11" s="40" t="n">
        <v>6</v>
      </c>
      <c r="C11" s="10" t="s">
        <v>429</v>
      </c>
      <c r="D11" s="10" t="s">
        <v>430</v>
      </c>
      <c r="E11" s="75" t="s">
        <v>418</v>
      </c>
      <c r="F11" s="75" t="s">
        <v>418</v>
      </c>
      <c r="G11" s="75" t="s">
        <v>418</v>
      </c>
      <c r="H11" s="75" t="s">
        <v>418</v>
      </c>
      <c r="I11" s="10" t="s">
        <v>27</v>
      </c>
      <c r="J11" s="26"/>
    </row>
    <row r="12" customFormat="false" ht="48" hidden="false" customHeight="true" outlineLevel="0" collapsed="false">
      <c r="B12" s="40" t="n">
        <v>7</v>
      </c>
      <c r="C12" s="10" t="s">
        <v>431</v>
      </c>
      <c r="D12" s="10" t="s">
        <v>430</v>
      </c>
      <c r="E12" s="75" t="s">
        <v>418</v>
      </c>
      <c r="F12" s="75" t="s">
        <v>418</v>
      </c>
      <c r="G12" s="75" t="s">
        <v>418</v>
      </c>
      <c r="H12" s="75" t="s">
        <v>418</v>
      </c>
      <c r="I12" s="10" t="s">
        <v>27</v>
      </c>
      <c r="J12" s="26"/>
    </row>
    <row r="13" customFormat="false" ht="48" hidden="false" customHeight="true" outlineLevel="0" collapsed="false">
      <c r="B13" s="40" t="n">
        <v>8</v>
      </c>
      <c r="C13" s="10" t="s">
        <v>432</v>
      </c>
      <c r="D13" s="10" t="s">
        <v>433</v>
      </c>
      <c r="E13" s="75" t="s">
        <v>418</v>
      </c>
      <c r="F13" s="75" t="s">
        <v>418</v>
      </c>
      <c r="G13" s="75" t="s">
        <v>418</v>
      </c>
      <c r="H13" s="75" t="s">
        <v>418</v>
      </c>
      <c r="I13" s="10" t="s">
        <v>434</v>
      </c>
      <c r="J13" s="26"/>
    </row>
    <row r="14" customFormat="false" ht="48" hidden="false" customHeight="true" outlineLevel="0" collapsed="false">
      <c r="B14" s="40" t="n">
        <v>9</v>
      </c>
      <c r="C14" s="10" t="s">
        <v>435</v>
      </c>
      <c r="D14" s="10" t="s">
        <v>436</v>
      </c>
      <c r="E14" s="75" t="s">
        <v>418</v>
      </c>
      <c r="F14" s="75" t="s">
        <v>418</v>
      </c>
      <c r="G14" s="75" t="s">
        <v>418</v>
      </c>
      <c r="H14" s="75" t="s">
        <v>418</v>
      </c>
      <c r="I14" s="10" t="s">
        <v>426</v>
      </c>
      <c r="J14" s="26"/>
    </row>
    <row r="15" customFormat="false" ht="27.75" hidden="false" customHeight="true" outlineLevel="0" collapsed="false">
      <c r="B15" s="40" t="n">
        <v>10</v>
      </c>
      <c r="C15" s="10" t="s">
        <v>437</v>
      </c>
      <c r="D15" s="10" t="s">
        <v>438</v>
      </c>
      <c r="E15" s="75" t="s">
        <v>418</v>
      </c>
      <c r="F15" s="75" t="s">
        <v>418</v>
      </c>
      <c r="G15" s="75" t="s">
        <v>418</v>
      </c>
      <c r="H15" s="75" t="s">
        <v>418</v>
      </c>
      <c r="I15" s="10" t="s">
        <v>27</v>
      </c>
      <c r="J15" s="26"/>
    </row>
    <row r="16" customFormat="false" ht="48" hidden="false" customHeight="true" outlineLevel="0" collapsed="false">
      <c r="B16" s="40" t="n">
        <v>11</v>
      </c>
      <c r="C16" s="10" t="s">
        <v>439</v>
      </c>
      <c r="D16" s="10" t="s">
        <v>440</v>
      </c>
      <c r="E16" s="75" t="s">
        <v>418</v>
      </c>
      <c r="F16" s="75" t="s">
        <v>418</v>
      </c>
      <c r="G16" s="75" t="s">
        <v>418</v>
      </c>
      <c r="H16" s="75" t="s">
        <v>418</v>
      </c>
      <c r="I16" s="10" t="s">
        <v>441</v>
      </c>
      <c r="J16" s="26"/>
    </row>
    <row r="17" customFormat="false" ht="30" hidden="false" customHeight="true" outlineLevel="0" collapsed="false">
      <c r="B17" s="35"/>
      <c r="C17" s="44" t="s">
        <v>442</v>
      </c>
      <c r="D17" s="35"/>
      <c r="E17" s="9" t="str">
        <f aca="false">COUNTIF(E6:E16,"Available")&amp;" / "&amp;(11-COUNTIF(E6:E16,"Not Applicable"))</f>
        <v>0 / 11</v>
      </c>
      <c r="F17" s="9" t="str">
        <f aca="false">COUNTIF(F6:F16,"Available")&amp;" / "&amp;(11-COUNTIF(F6:F16,"Not Applicable"))</f>
        <v>0 / 11</v>
      </c>
      <c r="G17" s="9" t="str">
        <f aca="false">COUNTIF(G6:G16,"Available")&amp;" / "&amp;(11-COUNTIF(G6:G16,"Not Applicable"))</f>
        <v>0 / 11</v>
      </c>
      <c r="H17" s="9" t="str">
        <f aca="false">COUNTIF(H6:H16,"Available")&amp;" / "&amp;(11-COUNTIF(H6:H16,"Not Applicable"))</f>
        <v>0 / 11</v>
      </c>
      <c r="I17" s="35"/>
      <c r="J17" s="35"/>
    </row>
  </sheetData>
  <mergeCells count="2">
    <mergeCell ref="B2:J2"/>
    <mergeCell ref="B3:J3"/>
  </mergeCells>
  <conditionalFormatting sqref="E6:H16">
    <cfRule type="cellIs" priority="2" operator="equal" aboveAverage="0" equalAverage="0" bottom="0" percent="0" rank="0" text="" dxfId="2">
      <formula>"Available"</formula>
    </cfRule>
    <cfRule type="cellIs" priority="3" operator="equal" aboveAverage="0" equalAverage="0" bottom="0" percent="0" rank="0" text="" dxfId="3">
      <formula>"Pending"</formula>
    </cfRule>
  </conditionalFormatting>
  <dataValidations count="1">
    <dataValidation allowBlank="true" errorStyle="stop" operator="between" showDropDown="false" showErrorMessage="false" showInputMessage="false" sqref="E6:H16" type="list">
      <formula1>"Available,Pending,Not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
    <col collapsed="false" customWidth="true" hidden="false" outlineLevel="0" max="7" min="3" style="0" width="24"/>
  </cols>
  <sheetData>
    <row r="2" customFormat="false" ht="43.5" hidden="false" customHeight="true" outlineLevel="0" collapsed="false">
      <c r="B2" s="19" t="s">
        <v>443</v>
      </c>
      <c r="C2" s="19"/>
      <c r="D2" s="19"/>
      <c r="E2" s="19"/>
      <c r="F2" s="19"/>
      <c r="G2" s="19"/>
    </row>
    <row r="3" customFormat="false" ht="26.25" hidden="false" customHeight="true" outlineLevel="0" collapsed="false">
      <c r="B3" s="76" t="s">
        <v>444</v>
      </c>
      <c r="C3" s="76"/>
      <c r="D3" s="76"/>
      <c r="E3" s="76"/>
      <c r="F3" s="76"/>
      <c r="G3" s="76"/>
    </row>
    <row r="5" customFormat="false" ht="48" hidden="false" customHeight="true" outlineLevel="0" collapsed="false">
      <c r="B5" s="8" t="s">
        <v>445</v>
      </c>
      <c r="C5" s="8"/>
      <c r="D5" s="8"/>
      <c r="E5" s="8"/>
      <c r="F5" s="8"/>
      <c r="G5" s="8"/>
    </row>
    <row r="6" customFormat="false" ht="48" hidden="false" customHeight="true" outlineLevel="0" collapsed="false">
      <c r="B6" s="77" t="s">
        <v>446</v>
      </c>
      <c r="C6" s="77"/>
      <c r="D6" s="77"/>
      <c r="E6" s="77"/>
      <c r="F6" s="77"/>
      <c r="G6" s="77"/>
    </row>
    <row r="8" customFormat="false" ht="88.5" hidden="false" customHeight="true" outlineLevel="0" collapsed="false">
      <c r="B8" s="8" t="s">
        <v>447</v>
      </c>
      <c r="C8" s="8"/>
      <c r="D8" s="8"/>
      <c r="E8" s="8"/>
      <c r="F8" s="8"/>
      <c r="G8" s="8"/>
    </row>
    <row r="10" customFormat="false" ht="57.75" hidden="false" customHeight="true" outlineLevel="0" collapsed="false">
      <c r="B10" s="9" t="s">
        <v>448</v>
      </c>
      <c r="C10" s="9" t="s">
        <v>449</v>
      </c>
      <c r="D10" s="9" t="s">
        <v>450</v>
      </c>
      <c r="E10" s="9" t="s">
        <v>451</v>
      </c>
      <c r="F10" s="9" t="s">
        <v>452</v>
      </c>
      <c r="G10" s="9" t="s">
        <v>453</v>
      </c>
    </row>
    <row r="11" customFormat="false" ht="27.75" hidden="false" customHeight="true" outlineLevel="0" collapsed="false">
      <c r="B11" s="40" t="n">
        <v>1</v>
      </c>
      <c r="C11" s="40" t="s">
        <v>227</v>
      </c>
      <c r="D11" s="78" t="n">
        <f aca="false">'6. Summary &amp; Compliance'!D14</f>
        <v>0</v>
      </c>
      <c r="E11" s="78" t="n">
        <f aca="false">'6. Summary &amp; Compliance'!D16</f>
        <v>0</v>
      </c>
      <c r="F11" s="78" t="n">
        <f aca="false">'6. Summary &amp; Compliance'!D24</f>
        <v>0</v>
      </c>
      <c r="G11" s="79" t="n">
        <f aca="false">'6. Summary &amp; Compliance'!D25</f>
        <v>0</v>
      </c>
    </row>
    <row r="12" customFormat="false" ht="27.75" hidden="false" customHeight="true" outlineLevel="0" collapsed="false">
      <c r="B12" s="40" t="n">
        <v>2</v>
      </c>
      <c r="C12" s="40" t="s">
        <v>228</v>
      </c>
      <c r="D12" s="78" t="n">
        <f aca="false">'6. Summary &amp; Compliance'!E14</f>
        <v>0</v>
      </c>
      <c r="E12" s="78" t="n">
        <f aca="false">'6. Summary &amp; Compliance'!E16</f>
        <v>0</v>
      </c>
      <c r="F12" s="78" t="n">
        <f aca="false">'6. Summary &amp; Compliance'!E24</f>
        <v>0</v>
      </c>
      <c r="G12" s="79" t="n">
        <f aca="false">'6. Summary &amp; Compliance'!E25</f>
        <v>0</v>
      </c>
    </row>
    <row r="13" customFormat="false" ht="27.75" hidden="false" customHeight="true" outlineLevel="0" collapsed="false">
      <c r="B13" s="40" t="n">
        <v>3</v>
      </c>
      <c r="C13" s="40" t="s">
        <v>229</v>
      </c>
      <c r="D13" s="78" t="n">
        <f aca="false">'6. Summary &amp; Compliance'!F14</f>
        <v>0</v>
      </c>
      <c r="E13" s="78" t="n">
        <f aca="false">'6. Summary &amp; Compliance'!F16</f>
        <v>0</v>
      </c>
      <c r="F13" s="78" t="n">
        <f aca="false">'6. Summary &amp; Compliance'!F24</f>
        <v>0</v>
      </c>
      <c r="G13" s="79" t="n">
        <f aca="false">'6. Summary &amp; Compliance'!F25</f>
        <v>0</v>
      </c>
    </row>
    <row r="14" customFormat="false" ht="27.75" hidden="false" customHeight="true" outlineLevel="0" collapsed="false">
      <c r="B14" s="40" t="n">
        <v>4</v>
      </c>
      <c r="C14" s="40" t="s">
        <v>230</v>
      </c>
      <c r="D14" s="78" t="n">
        <f aca="false">'6. Summary &amp; Compliance'!G14</f>
        <v>0</v>
      </c>
      <c r="E14" s="78" t="n">
        <f aca="false">'6. Summary &amp; Compliance'!G16</f>
        <v>0</v>
      </c>
      <c r="F14" s="78" t="n">
        <f aca="false">'6. Summary &amp; Compliance'!G24</f>
        <v>0</v>
      </c>
      <c r="G14" s="79" t="n">
        <f aca="false">'6. Summary &amp; Compliance'!G25</f>
        <v>0</v>
      </c>
    </row>
    <row r="16" customFormat="false" ht="109.5" hidden="false" customHeight="true" outlineLevel="0" collapsed="false">
      <c r="B16" s="8" t="s">
        <v>454</v>
      </c>
      <c r="C16" s="8"/>
      <c r="D16" s="8"/>
      <c r="E16" s="8"/>
      <c r="F16" s="8"/>
      <c r="G16" s="8"/>
    </row>
    <row r="19" customFormat="false" ht="25.5" hidden="false" customHeight="true" outlineLevel="0" collapsed="false">
      <c r="B19" s="80" t="s">
        <v>455</v>
      </c>
      <c r="C19" s="80"/>
      <c r="D19" s="80"/>
      <c r="E19" s="81" t="s">
        <v>456</v>
      </c>
      <c r="F19" s="81"/>
      <c r="G19" s="81"/>
    </row>
    <row r="20" customFormat="false" ht="25.5" hidden="false" customHeight="true" outlineLevel="0" collapsed="false">
      <c r="B20" s="80" t="s">
        <v>457</v>
      </c>
      <c r="C20" s="80"/>
      <c r="D20" s="80"/>
      <c r="E20" s="81" t="s">
        <v>458</v>
      </c>
      <c r="F20" s="81"/>
      <c r="G20" s="81"/>
    </row>
    <row r="21" customFormat="false" ht="25.5" hidden="false" customHeight="true" outlineLevel="0" collapsed="false">
      <c r="B21" s="80"/>
      <c r="C21" s="80"/>
      <c r="D21" s="80"/>
      <c r="E21" s="81" t="s">
        <v>459</v>
      </c>
      <c r="F21" s="81"/>
      <c r="G21" s="81"/>
    </row>
    <row r="22" customFormat="false" ht="25.5" hidden="false" customHeight="true" outlineLevel="0" collapsed="false">
      <c r="B22" s="80" t="s">
        <v>460</v>
      </c>
      <c r="C22" s="80"/>
      <c r="D22" s="80"/>
      <c r="E22" s="81" t="s">
        <v>460</v>
      </c>
      <c r="F22" s="81"/>
      <c r="G22" s="81"/>
    </row>
    <row r="23" customFormat="false" ht="25.5" hidden="false" customHeight="true" outlineLevel="0" collapsed="false">
      <c r="B23" s="80" t="s">
        <v>461</v>
      </c>
      <c r="C23" s="80"/>
      <c r="D23" s="80"/>
      <c r="E23" s="81"/>
      <c r="F23" s="81"/>
      <c r="G23" s="81"/>
    </row>
    <row r="24" customFormat="false" ht="25.5" hidden="false" customHeight="true" outlineLevel="0" collapsed="false">
      <c r="B24" s="80" t="s">
        <v>462</v>
      </c>
      <c r="C24" s="80"/>
      <c r="D24" s="80"/>
      <c r="E24" s="81"/>
      <c r="F24" s="81"/>
      <c r="G24" s="81"/>
    </row>
    <row r="26" customFormat="false" ht="45" hidden="false" customHeight="true" outlineLevel="0" collapsed="false">
      <c r="B26" s="82" t="s">
        <v>463</v>
      </c>
      <c r="C26" s="82"/>
      <c r="D26" s="82"/>
      <c r="E26" s="82"/>
      <c r="F26" s="82"/>
      <c r="G26" s="82"/>
    </row>
  </sheetData>
  <mergeCells count="19">
    <mergeCell ref="B2:G2"/>
    <mergeCell ref="B3:G3"/>
    <mergeCell ref="B5:G5"/>
    <mergeCell ref="B6:G6"/>
    <mergeCell ref="B8:G8"/>
    <mergeCell ref="B16:G16"/>
    <mergeCell ref="B19:D19"/>
    <mergeCell ref="E19:G19"/>
    <mergeCell ref="B20:D20"/>
    <mergeCell ref="E20:G20"/>
    <mergeCell ref="B21:D21"/>
    <mergeCell ref="E21:G21"/>
    <mergeCell ref="B22:D22"/>
    <mergeCell ref="E22:G22"/>
    <mergeCell ref="B23:D23"/>
    <mergeCell ref="E23:G23"/>
    <mergeCell ref="B24:D24"/>
    <mergeCell ref="E24:G24"/>
    <mergeCell ref="B26:G2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2026-10-16T08:29:40Z</dcterms:created>
  <dc:creator>openpyxl</dc:creator>
  <dc:description/>
  <dc:language>en-US</dc:language>
  <cp:lastModifiedBy/>
  <dcterms:modified xsi:type="dcterms:W3CDTF">2026-10-16T08:29:43Z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