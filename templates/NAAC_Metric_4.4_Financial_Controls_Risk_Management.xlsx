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Cover" sheetId="1" state="visible" r:id="rId3"/>
    <sheet name="2. Guidelines" sheetId="2" state="visible" r:id="rId4"/>
    <sheet name="3. Internal Audit" sheetId="3" state="visible" r:id="rId5"/>
    <sheet name="4. Statutory &amp; External Audit" sheetId="4" state="visible" r:id="rId6"/>
    <sheet name="5. Risk Mgmt Approaches" sheetId="5" state="visible" r:id="rId7"/>
    <sheet name="6. Risk Register" sheetId="6" state="visible" r:id="rId8"/>
    <sheet name="7. Summary &amp; Compliance" sheetId="7" state="visible" r:id="rId9"/>
    <sheet name="8. Worked Example" sheetId="8" state="visible" r:id="rId10"/>
    <sheet name="9. Document Checklist" sheetId="9" state="visible" r:id="rId11"/>
    <sheet name="10. CA Certificate" sheetId="10" state="visible" r:id="rId12"/>
  </sheets>
  <definedNames>
    <definedName function="false" hidden="false" localSheetId="2" name="_xlnm.Print_Titles" vbProcedure="false">'3. Internal Audit'!$5:$5</definedName>
    <definedName function="false" hidden="false" localSheetId="3" name="_xlnm.Print_Titles" vbProcedure="false">'4. Statutory &amp; External Audit'!$5:$5</definedName>
    <definedName function="false" hidden="false" localSheetId="4" name="_xlnm.Print_Titles" vbProcedure="false">'5. Risk Mgmt Approaches'!$5:$5</definedName>
    <definedName function="false" hidden="false" localSheetId="5" name="_xlnm.Print_Titles" vbProcedure="false">'6. Risk Register'!$5:$5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<sst xmlns="http://schemas.openxmlformats.org/spreadsheetml/2006/main" count="729" uniqueCount="490">
  <si>
    <t xml:space="preserve">[UNIVERSITY NAME]</t>
  </si>
  <si>
    <t xml:space="preserve">Internal Quality Assurance Cell (IQAC)</t>
  </si>
  <si>
    <t xml:space="preserve">NAAC Binary Accreditation Framework  |  Attribute 4 – Financial Resources &amp; Management (50)</t>
  </si>
  <si>
    <t xml:space="preserve">Metric 4.4 – Financial Controls and Risk Management   (Weightage: 10)</t>
  </si>
  <si>
    <t xml:space="preserve">(a) Internal Audits   •   (b) External / Statutory Audits   •   (c) Risk Management Approaches</t>
  </si>
  <si>
    <t xml:space="preserve">Data Capture, Compliance &amp; Evidence Workbook  •  Financial Years 2025-26, 2024-25, 2023-24 and 2022-23</t>
  </si>
  <si>
    <t xml:space="preserve">ABSTRACT</t>
  </si>
  <si>
    <t xml:space="preserve">This workbook is the institutional tool for preparing NAAC Metric 4.4 – Financial Controls and Risk Management. Like Metric 4.3, it is an options-based metric: the institution must show that mechanisms of financial control are in place through (a) internal audits, (b) external / statutory audits and (c) risk management approaches, supported by audited statements and CA-certified extracts.
For four financial years (2025-26, 2024-25, 2023-24 and 2022-23) the workbook records: the internal audit arrangement, frequency, reports issued, areas covered and closure of observations; the statutory audit – auditor, date of audit report, type of audit opinion, compliance of observations and approval of accounts – together with other external audits such as income-tax and GST audits; the risk management approaches implemented each year; and an institutional financial risk register with likelihood-impact scoring. It then automatically evaluates compliance with options (a), (b) and (c), computes control-effectiveness indicators and pre-fills a Chartered Accountant (CA) certificate. Guidelines, a worked example and an evidence checklist are included.</t>
  </si>
  <si>
    <t xml:space="preserve">INTRODUCTION</t>
  </si>
  <si>
    <t xml:space="preserve">Why this metric matters: Sound financial controls protect the institution's resources, ensure that money is spent only for approved purposes, and give stakeholders – students, parents, regulators, lenders and the sponsoring body – confidence in the integrity of the accounts. NAAC looks for three lines of assurance:
(a) Internal Audits – a continuous, independent review (by an in-house audit cell or an external CA firm) of receipts, payments, payroll, procurement, stores, assets, grants and statutory dues, with observations reported to management and closed through action taken reports.
(b) External / Statutory Audits – the annual audit of the institution's accounts by an independent Chartered Accountant firm, resulting in an audit report and audited financial statements approved by the Finance Committee and the Board of Management / Governing Body; plus other external audits such as income-tax audit, GST audit and grant audits.
(c) Risk Management Approaches – a structured way of identifying, assessing and mitigating financial risks: a risk management policy, a risk register, budgeting and variance control, delegation of financial powers, segregation of duties, insurance, cyber-security, fraud prevention and contingency reserves.
Link with other metrics: The audited statements used here are the same ones used for Metrics 4.1, 4.2 and 4.3. Investment controls link with 4.3 (b). Delegation of financial powers links with Metric 7.2, IQAC academic and administrative audits with 7.3, and e-governance in finance with 7.8.</t>
  </si>
  <si>
    <t xml:space="preserve">OBJECTIVES OF THIS WORKBOOK</t>
  </si>
  <si>
    <t xml:space="preserve">1.  Record internal audit, statutory audit and other external audit details in a standard, year-wise format.
2.  Measure control effectiveness – audit coverage, timeliness, audit opinion and closure of observations.
3.  Record risk management approaches and maintain a scored financial risk register.
4.  Automatically test whether options (a), (b) and (c) can be claimed.
5.  Track every supporting document and generate the CA certificate.</t>
  </si>
  <si>
    <t xml:space="preserve">WORKBOOK STRUCTURE</t>
  </si>
  <si>
    <t xml:space="preserve">Sheet</t>
  </si>
  <si>
    <t xml:space="preserve">Purpose</t>
  </si>
  <si>
    <t xml:space="preserve">Who fills / uses</t>
  </si>
  <si>
    <t xml:space="preserve">Action required</t>
  </si>
  <si>
    <t xml:space="preserve">1. Cover</t>
  </si>
  <si>
    <t xml:space="preserve">Abstract, introduction, objectives and structure</t>
  </si>
  <si>
    <t xml:space="preserve">All users</t>
  </si>
  <si>
    <t xml:space="preserve">Read first</t>
  </si>
  <si>
    <t xml:space="preserve">2. Guidelines</t>
  </si>
  <si>
    <t xml:space="preserve">What NAAC asks, compliance tests, procedure, definitions, indicators, documents, common errors</t>
  </si>
  <si>
    <t xml:space="preserve">Finance Office &amp; IQAC</t>
  </si>
  <si>
    <t xml:space="preserve">Read before entering data</t>
  </si>
  <si>
    <t xml:space="preserve">3. Internal Audit</t>
  </si>
  <si>
    <t xml:space="preserve">Internal audit arrangement, reports, observations and area coverage – FY-wise</t>
  </si>
  <si>
    <t xml:space="preserve">Finance Office / Internal Auditor</t>
  </si>
  <si>
    <t xml:space="preserve">Enter data in cream cells</t>
  </si>
  <si>
    <t xml:space="preserve">4. Statutory &amp; External Audit</t>
  </si>
  <si>
    <t xml:space="preserve">Statutory audit details, opinion, timeliness, compliance; other external audits</t>
  </si>
  <si>
    <t xml:space="preserve">Finance Office</t>
  </si>
  <si>
    <t xml:space="preserve">5. Risk Mgmt Approaches</t>
  </si>
  <si>
    <t xml:space="preserve">Status of 12 risk management approaches – FY-wise</t>
  </si>
  <si>
    <t xml:space="preserve">Finance Officer &amp; IQAC</t>
  </si>
  <si>
    <t xml:space="preserve">Select status from drop-down</t>
  </si>
  <si>
    <t xml:space="preserve">6. Risk Register</t>
  </si>
  <si>
    <t xml:space="preserve">Financial risks with likelihood × impact scoring, mitigation and owner</t>
  </si>
  <si>
    <t xml:space="preserve">Finance Officer / Risk Committee</t>
  </si>
  <si>
    <t xml:space="preserve">Score and update</t>
  </si>
  <si>
    <t xml:space="preserve">7. Summary &amp; Compliance</t>
  </si>
  <si>
    <t xml:space="preserve">Option (a), (b), (c) compliance, indicators and chart</t>
  </si>
  <si>
    <t xml:space="preserve">IQAC (auto-calculated)</t>
  </si>
  <si>
    <t xml:space="preserve">Review only</t>
  </si>
  <si>
    <t xml:space="preserve">8. Worked Example</t>
  </si>
  <si>
    <t xml:space="preserve">Illustration with hypothetical data</t>
  </si>
  <si>
    <t xml:space="preserve">Training / reference</t>
  </si>
  <si>
    <t xml:space="preserve">Read only</t>
  </si>
  <si>
    <t xml:space="preserve">9. Document Checklist</t>
  </si>
  <si>
    <t xml:space="preserve">Status of every supporting document, FY-wise</t>
  </si>
  <si>
    <t xml:space="preserve">IQAC &amp; Finance Office</t>
  </si>
  <si>
    <t xml:space="preserve">Select status</t>
  </si>
  <si>
    <t xml:space="preserve">10. CA Certificate</t>
  </si>
  <si>
    <t xml:space="preserve">Certificate format pre-filled from the Summary</t>
  </si>
  <si>
    <t xml:space="preserve">CA / Finance Officer</t>
  </si>
  <si>
    <t xml:space="preserve">Print, verify and sign</t>
  </si>
  <si>
    <t xml:space="preserve">CELL COLOUR LEGEND</t>
  </si>
  <si>
    <t xml:space="preserve">Cream fill, blue text</t>
  </si>
  <si>
    <t xml:space="preserve">Input cell – enter data / select from drop-down</t>
  </si>
  <si>
    <t xml:space="preserve">Light navy fill, black text</t>
  </si>
  <si>
    <t xml:space="preserve">Formula – do not overwrite</t>
  </si>
  <si>
    <t xml:space="preserve">Green text</t>
  </si>
  <si>
    <t xml:space="preserve">Value linked from another sheet – do not overwrite</t>
  </si>
  <si>
    <t xml:space="preserve">Navy fill, gold/white text</t>
  </si>
  <si>
    <t xml:space="preserve">Headings and sections</t>
  </si>
  <si>
    <t xml:space="preserve">Prepared by: IQAC, [University Name]   |   Version 1.0   |   Basis: NAAC Binary Accreditation Framework – Metrics for Manual (Base), Draft Version</t>
  </si>
  <si>
    <t xml:space="preserve">Note: The NAAC draft lists the three options but does not publish the scoring method. Compliance tests and bands in this workbook are indicative IQAC guidance; update them when NAAC notifies the final SOP.</t>
  </si>
  <si>
    <t xml:space="preserve">GUIDELINES FOR PREPARING METRIC 4.4</t>
  </si>
  <si>
    <t xml:space="preserve">G1.  WHAT NAAC ASKS</t>
  </si>
  <si>
    <t xml:space="preserve">Option</t>
  </si>
  <si>
    <t xml:space="preserve">Mechanism</t>
  </si>
  <si>
    <t xml:space="preserve">What it means</t>
  </si>
  <si>
    <t xml:space="preserve">Evidence</t>
  </si>
  <si>
    <t xml:space="preserve">a</t>
  </si>
  <si>
    <t xml:space="preserve">Internal audits</t>
  </si>
  <si>
    <t xml:space="preserve">An internal auditor (in-house audit cell or external CA firm) is appointed and conducts periodic audits of financial transactions and controls; observations are reported and closed through Action Taken Reports (ATR)</t>
  </si>
  <si>
    <t xml:space="preserve">Internal auditor appointment letter, internal audit reports, ATR, Finance / Audit Committee minutes</t>
  </si>
  <si>
    <t xml:space="preserve">b</t>
  </si>
  <si>
    <t xml:space="preserve">External / statutory audits</t>
  </si>
  <si>
    <t xml:space="preserve">Annual accounts are audited by an independent CA firm; audit report issued; audited accounts approved by Finance Committee and BOM / Governing Body; other external audits (income-tax, GST, grant audits) conducted</t>
  </si>
  <si>
    <t xml:space="preserve">Audited statements signed by CA and countersigned by competent authority; CA-certified audit extracts; approval minutes</t>
  </si>
  <si>
    <t xml:space="preserve">c</t>
  </si>
  <si>
    <t xml:space="preserve">Risk management approaches</t>
  </si>
  <si>
    <t xml:space="preserve">A documented approach to identify, assess and mitigate financial risks – policy, committee, risk register, budgetary control, delegation of powers, insurance, cyber-security, fraud prevention, contingency reserve</t>
  </si>
  <si>
    <t xml:space="preserve">Risk management policy, risk register, committee minutes, insurance policies, delegation-of-powers ordinance</t>
  </si>
  <si>
    <t xml:space="preserve">G2.  YEAR BASIS</t>
  </si>
  <si>
    <t xml:space="preserve">•  Use FINANCIAL YEARS (1 April – 31 March).
•  NAAC assessment period = FY 2025-26, FY 2024-25 and FY 2023-24. FY 2022-23 is captured as a baseline for trend comparison.
•  The statutory audit of a financial year is normally completed in the following months – e.g., the audit report for FY 2025-26 is dated after 31 March 2026. Record it against the FY whose accounts were audited.
•  Enter dates as dd-mm-yyyy; they will display as dd-mmm-yyyy.</t>
  </si>
  <si>
    <t xml:space="preserve">G3.  COMPLIANCE TESTS USED IN THIS WORKBOOK (INDICATIVE)</t>
  </si>
  <si>
    <t xml:space="preserve">Test applied</t>
  </si>
  <si>
    <t xml:space="preserve">Result shown</t>
  </si>
  <si>
    <t xml:space="preserve">Notes</t>
  </si>
  <si>
    <t xml:space="preserve">At least one internal audit report issued in each of the three NAAC years</t>
  </si>
  <si>
    <t xml:space="preserve">YES / PARTIAL (n of 3 years) / NO</t>
  </si>
  <si>
    <t xml:space="preserve">Strength shown by frequency, area coverage and observation closure %</t>
  </si>
  <si>
    <t xml:space="preserve">Statutory audit report dated for each of the three NAAC years</t>
  </si>
  <si>
    <t xml:space="preserve">YES / PARTIAL / NO</t>
  </si>
  <si>
    <t xml:space="preserve">Strength shown by audit opinion (Unqualified is best), days from year-end to audit report, and closure of observations</t>
  </si>
  <si>
    <t xml:space="preserve">Number of risk management approaches 'Implemented' in FY 2025-26: 6 or more of 12 = YES; 1–5 = PARTIAL; 0 = NO</t>
  </si>
  <si>
    <t xml:space="preserve">A board-approved Risk Management Policy and a maintained risk register strengthen the claim</t>
  </si>
  <si>
    <t xml:space="preserve">G4.  STEP-BY-STEP PROCEDURE</t>
  </si>
  <si>
    <t xml:space="preserve">Step</t>
  </si>
  <si>
    <t xml:space="preserve">Activity</t>
  </si>
  <si>
    <t xml:space="preserve">How to do it</t>
  </si>
  <si>
    <t xml:space="preserve">Responsibility / Output</t>
  </si>
  <si>
    <t xml:space="preserve">1</t>
  </si>
  <si>
    <t xml:space="preserve">Internal audit details</t>
  </si>
  <si>
    <t xml:space="preserve">From the internal auditor's appointment letter and reports, enter arrangement, frequency, reports issued and observations for each FY (Sheet 3)</t>
  </si>
  <si>
    <t xml:space="preserve">2</t>
  </si>
  <si>
    <t xml:space="preserve">Area coverage</t>
  </si>
  <si>
    <t xml:space="preserve">Mark Yes/No for each of the 12 audit areas covered in each FY</t>
  </si>
  <si>
    <t xml:space="preserve">Internal Auditor</t>
  </si>
  <si>
    <t xml:space="preserve">3</t>
  </si>
  <si>
    <t xml:space="preserve">Statutory audit details</t>
  </si>
  <si>
    <t xml:space="preserve">From the audited accounts and audit report, enter auditor, FRN, report date, opinion, observations and approval dates (Sheet 4)</t>
  </si>
  <si>
    <t xml:space="preserve">4</t>
  </si>
  <si>
    <t xml:space="preserve">Other external audits</t>
  </si>
  <si>
    <t xml:space="preserve">Mark Yes / No / NA for income-tax audit, GST, grant and other audits</t>
  </si>
  <si>
    <t xml:space="preserve">5</t>
  </si>
  <si>
    <t xml:space="preserve">Risk approaches</t>
  </si>
  <si>
    <t xml:space="preserve">For each FY, select the status of each of the 12 approaches (Sheet 5) and note evidence</t>
  </si>
  <si>
    <t xml:space="preserve">6</t>
  </si>
  <si>
    <t xml:space="preserve">Risk register</t>
  </si>
  <si>
    <t xml:space="preserve">Score each risk for likelihood and impact (1–5); describe mitigation and owner (Sheet 6)</t>
  </si>
  <si>
    <t xml:space="preserve">7</t>
  </si>
  <si>
    <t xml:space="preserve">Review</t>
  </si>
  <si>
    <t xml:space="preserve">Check Sheet 7 – option status, indicators, pending observations</t>
  </si>
  <si>
    <t xml:space="preserve">IQAC Director</t>
  </si>
  <si>
    <t xml:space="preserve">8</t>
  </si>
  <si>
    <t xml:space="preserve">CA certificate</t>
  </si>
  <si>
    <t xml:space="preserve">Print Sheet 10; CA verifies and signs; Registrar / Finance Officer countersigns</t>
  </si>
  <si>
    <t xml:space="preserve">CA &amp; competent authority</t>
  </si>
  <si>
    <t xml:space="preserve">9</t>
  </si>
  <si>
    <t xml:space="preserve">Upload</t>
  </si>
  <si>
    <t xml:space="preserve">Select options met on the NAAC portal; upload CA certificate, audited statements and supporting evidence</t>
  </si>
  <si>
    <t xml:space="preserve">IQAC</t>
  </si>
  <si>
    <t xml:space="preserve">G5.  INDICATORS COMPUTED</t>
  </si>
  <si>
    <t xml:space="preserve">#</t>
  </si>
  <si>
    <t xml:space="preserve">Indicator</t>
  </si>
  <si>
    <t xml:space="preserve">Formula</t>
  </si>
  <si>
    <t xml:space="preserve">Indicative benchmark</t>
  </si>
  <si>
    <t xml:space="preserve">Internal audit observation closure %</t>
  </si>
  <si>
    <t xml:space="preserve">Observations complied ÷ Observations raised</t>
  </si>
  <si>
    <t xml:space="preserve">≥ 90% strong; 75–89% adequate; &lt; 75% needs attention</t>
  </si>
  <si>
    <t xml:space="preserve">Internal audit area coverage %</t>
  </si>
  <si>
    <t xml:space="preserve">Areas covered ÷ 12 areas</t>
  </si>
  <si>
    <t xml:space="preserve">≥ 80% strong</t>
  </si>
  <si>
    <t xml:space="preserve">Days from year-end to statutory audit report</t>
  </si>
  <si>
    <t xml:space="preserve">Audit report date – 31 March of the FY</t>
  </si>
  <si>
    <t xml:space="preserve">≤ 180 days preferred (timely closing of accounts)</t>
  </si>
  <si>
    <t xml:space="preserve">Statutory audit observation closure %</t>
  </si>
  <si>
    <t xml:space="preserve">≥ 90% strong</t>
  </si>
  <si>
    <t xml:space="preserve">Audit opinion</t>
  </si>
  <si>
    <t xml:space="preserve">As stated in the audit report</t>
  </si>
  <si>
    <t xml:space="preserve">Unqualified (clean) opinion is the expected standard</t>
  </si>
  <si>
    <t xml:space="preserve">Risk approaches implemented</t>
  </si>
  <si>
    <t xml:space="preserve">Count of 'Implemented' out of 12</t>
  </si>
  <si>
    <t xml:space="preserve">≥ 6 = option (c) met</t>
  </si>
  <si>
    <t xml:space="preserve">Risk score</t>
  </si>
  <si>
    <t xml:space="preserve">Likelihood (1–5) × Impact (1–5)</t>
  </si>
  <si>
    <t xml:space="preserve">15–25 High; 8–14 Medium; 1–7 Low</t>
  </si>
  <si>
    <t xml:space="preserve">G6.  SUPPORTING DOCUMENTS REQUIRED BY NAAC</t>
  </si>
  <si>
    <t xml:space="preserve">1.  Audited Income &amp; Expenditure statement of the institution highlighting the specific components, certified by the CA.
2.  Audit extracts of the same, certified by the CA (use Sheet 10).
Recommended additional evidence: internal auditor appointment letter and scope; internal audit reports and ATRs; statutory auditor appointment resolution; audit reports with management replies; Finance Committee and BOM minutes approving audited accounts; income-tax audit report (Form 10B / 10BB), GST reconciliation; risk management policy, risk register, Audit / Risk Committee minutes; delegation of financial powers ordinance; insurance policies. Track these in Sheet 9.</t>
  </si>
  <si>
    <t xml:space="preserve">G7.  COMMON ERRORS AND HOW TO AVOID THEM</t>
  </si>
  <si>
    <t xml:space="preserve">Error</t>
  </si>
  <si>
    <t xml:space="preserve">Consequence</t>
  </si>
  <si>
    <t xml:space="preserve">Prevention</t>
  </si>
  <si>
    <t xml:space="preserve">Treating the IQAC Academic &amp; Administrative Audit (AAA) as a financial internal audit</t>
  </si>
  <si>
    <t xml:space="preserve">Option (a) weak or rejected</t>
  </si>
  <si>
    <t xml:space="preserve">AAA belongs to Metric 7.3; financial internal audit must be by a qualified internal auditor</t>
  </si>
  <si>
    <t xml:space="preserve">Internal audit reports without ATR / closure evidence</t>
  </si>
  <si>
    <t xml:space="preserve">Control effectiveness not demonstrated</t>
  </si>
  <si>
    <t xml:space="preserve">Maintain ATR for every report and place it before the Finance / Audit Committee</t>
  </si>
  <si>
    <t xml:space="preserve">Audited accounts not countersigned or not approved by BOM</t>
  </si>
  <si>
    <t xml:space="preserve">Document treated as incomplete</t>
  </si>
  <si>
    <t xml:space="preserve">Record approval dates in Sheet 4</t>
  </si>
  <si>
    <t xml:space="preserve">Qualified audit opinion not explained</t>
  </si>
  <si>
    <t xml:space="preserve">Adverse impression</t>
  </si>
  <si>
    <t xml:space="preserve">Attach management reply and corrective action</t>
  </si>
  <si>
    <t xml:space="preserve">Claiming risk management with only an insurance policy</t>
  </si>
  <si>
    <t xml:space="preserve">Option (c) weak</t>
  </si>
  <si>
    <t xml:space="preserve">Adopt a board-approved policy, maintain a risk register and review it periodically</t>
  </si>
  <si>
    <t xml:space="preserve">Risk register never updated</t>
  </si>
  <si>
    <t xml:space="preserve">Not credible</t>
  </si>
  <si>
    <t xml:space="preserve">Review at least annually; record review date</t>
  </si>
  <si>
    <t xml:space="preserve">SHEET 3 – INTERNAL AUDIT (OPTION a)</t>
  </si>
  <si>
    <t xml:space="preserve">Record the internal audit arrangement and its outcomes for each financial year. Use numbers for counts, select Yes/No from drop-downs and enter dates as dd-mm-yyyy. Source: internal auditor appointment letter, internal audit reports, Action Taken Reports (ATR) and Finance / Audit Committee minutes.</t>
  </si>
  <si>
    <t xml:space="preserve">Code</t>
  </si>
  <si>
    <t xml:space="preserve">Parameter</t>
  </si>
  <si>
    <t xml:space="preserve">FY 2025-26</t>
  </si>
  <si>
    <t xml:space="preserve">FY 2024-25</t>
  </si>
  <si>
    <t xml:space="preserve">FY 2023-24</t>
  </si>
  <si>
    <t xml:space="preserve">FY 2022-23</t>
  </si>
  <si>
    <t xml:space="preserve">NAAC 3-Yr</t>
  </si>
  <si>
    <t xml:space="preserve">Evidence Reference</t>
  </si>
  <si>
    <t xml:space="preserve">Remarks</t>
  </si>
  <si>
    <t xml:space="preserve">A</t>
  </si>
  <si>
    <t xml:space="preserve">Internal audit arrangement</t>
  </si>
  <si>
    <t xml:space="preserve">IA1</t>
  </si>
  <si>
    <t xml:space="preserve">Internal auditor appointed? (Yes / No)</t>
  </si>
  <si>
    <t xml:space="preserve">IA2</t>
  </si>
  <si>
    <t xml:space="preserve">Internal auditor – name &amp; type (in-house audit cell / external CA firm)</t>
  </si>
  <si>
    <t xml:space="preserve">IA3</t>
  </si>
  <si>
    <t xml:space="preserve">Date of appointment / engagement letter</t>
  </si>
  <si>
    <t xml:space="preserve">IA4</t>
  </si>
  <si>
    <t xml:space="preserve">Frequency of internal audit</t>
  </si>
  <si>
    <t xml:space="preserve">B</t>
  </si>
  <si>
    <t xml:space="preserve">Internal audit outcomes</t>
  </si>
  <si>
    <t xml:space="preserve">IA5</t>
  </si>
  <si>
    <t xml:space="preserve">Number of internal audit reports issued during the FY</t>
  </si>
  <si>
    <t xml:space="preserve">IA6</t>
  </si>
  <si>
    <t xml:space="preserve">Number of observations raised</t>
  </si>
  <si>
    <t xml:space="preserve">IA7</t>
  </si>
  <si>
    <t xml:space="preserve">Number of observations complied / closed</t>
  </si>
  <si>
    <t xml:space="preserve">IA8</t>
  </si>
  <si>
    <t xml:space="preserve">Pending observations (IA6 – IA7)</t>
  </si>
  <si>
    <t xml:space="preserve">IA9</t>
  </si>
  <si>
    <t xml:space="preserve">Observation closure % (IA7 ÷ IA6)</t>
  </si>
  <si>
    <t xml:space="preserve">IA10</t>
  </si>
  <si>
    <t xml:space="preserve">Internal audit reports &amp; ATR placed before Finance / Audit Committee? (Yes / No)</t>
  </si>
  <si>
    <t xml:space="preserve">IA11</t>
  </si>
  <si>
    <t xml:space="preserve">Date of Finance / Audit Committee meeting that reviewed internal audit</t>
  </si>
  <si>
    <t xml:space="preserve">C</t>
  </si>
  <si>
    <t xml:space="preserve">Audit areas covered during the FY (select Yes / No)</t>
  </si>
  <si>
    <t xml:space="preserve">C1</t>
  </si>
  <si>
    <t xml:space="preserve">Fee collection &amp; receipts</t>
  </si>
  <si>
    <t xml:space="preserve">C2</t>
  </si>
  <si>
    <t xml:space="preserve">Payroll &amp; salary disbursement</t>
  </si>
  <si>
    <t xml:space="preserve">C3</t>
  </si>
  <si>
    <t xml:space="preserve">Purchases &amp; procurement</t>
  </si>
  <si>
    <t xml:space="preserve">C4</t>
  </si>
  <si>
    <t xml:space="preserve">Stores &amp; inventory</t>
  </si>
  <si>
    <t xml:space="preserve">C5</t>
  </si>
  <si>
    <t xml:space="preserve">Fixed assets &amp; capital works</t>
  </si>
  <si>
    <t xml:space="preserve">C6</t>
  </si>
  <si>
    <t xml:space="preserve">Investments &amp; corpus (link 4.3)</t>
  </si>
  <si>
    <t xml:space="preserve">C7</t>
  </si>
  <si>
    <t xml:space="preserve">Research grants &amp; projects</t>
  </si>
  <si>
    <t xml:space="preserve">C8</t>
  </si>
  <si>
    <t xml:space="preserve">Hostel, mess &amp; canteen</t>
  </si>
  <si>
    <t xml:space="preserve">C9</t>
  </si>
  <si>
    <t xml:space="preserve">Examination finance</t>
  </si>
  <si>
    <t xml:space="preserve">C10</t>
  </si>
  <si>
    <t xml:space="preserve">Statutory dues – TDS / GST / PF / ESI</t>
  </si>
  <si>
    <t xml:space="preserve">C11</t>
  </si>
  <si>
    <t xml:space="preserve">Bank reconciliation &amp; cash</t>
  </si>
  <si>
    <t xml:space="preserve">C12</t>
  </si>
  <si>
    <t xml:space="preserve">Scholarships, freeships &amp; refunds</t>
  </si>
  <si>
    <t xml:space="preserve">Areas covered (count of 12)</t>
  </si>
  <si>
    <t xml:space="preserve">C%</t>
  </si>
  <si>
    <t xml:space="preserve">Area coverage %</t>
  </si>
  <si>
    <t xml:space="preserve">Filling rules: (1) Cream cells only. (2) Counts as whole numbers; dates as dd-mm-yyyy. (3) The IQAC Academic &amp; Administrative Audit is NOT a financial internal audit – do not record it here. (4) Give the report / minute reference in 'Evidence Reference'.</t>
  </si>
  <si>
    <t xml:space="preserve">SHEET 4 – STATUTORY &amp; OTHER EXTERNAL AUDITS (OPTION b)</t>
  </si>
  <si>
    <t xml:space="preserve">Record statutory audit details against the financial year whose accounts were audited (e.g., audit report dated September 2026 for FY 2025-26). Source: audited financial statements, auditor's report, appointment resolution, Finance Committee and BOM minutes, income-tax and GST audit reports.</t>
  </si>
  <si>
    <t xml:space="preserve">Statutory audit</t>
  </si>
  <si>
    <t xml:space="preserve">SA1</t>
  </si>
  <si>
    <t xml:space="preserve">Statutory auditor – CA firm name</t>
  </si>
  <si>
    <t xml:space="preserve">SA2</t>
  </si>
  <si>
    <t xml:space="preserve">Firm Registration Number (FRN)</t>
  </si>
  <si>
    <t xml:space="preserve">SA3</t>
  </si>
  <si>
    <t xml:space="preserve">Appointed by (Body) – e.g., Governing Body / BOM / Trust</t>
  </si>
  <si>
    <t xml:space="preserve">SA4</t>
  </si>
  <si>
    <t xml:space="preserve">Date of statutory audit report</t>
  </si>
  <si>
    <t xml:space="preserve">SA5</t>
  </si>
  <si>
    <t xml:space="preserve">Days from FY end (31 March) to audit report</t>
  </si>
  <si>
    <t xml:space="preserve">SA6</t>
  </si>
  <si>
    <t xml:space="preserve">Type of audit opinion</t>
  </si>
  <si>
    <t xml:space="preserve">SA7</t>
  </si>
  <si>
    <t xml:space="preserve">Number of audit observations / qualifications</t>
  </si>
  <si>
    <t xml:space="preserve">SA8</t>
  </si>
  <si>
    <t xml:space="preserve">Number of observations complied</t>
  </si>
  <si>
    <t xml:space="preserve">SA9</t>
  </si>
  <si>
    <t xml:space="preserve">Pending observations (SA7 – SA8)</t>
  </si>
  <si>
    <t xml:space="preserve">SA10</t>
  </si>
  <si>
    <t xml:space="preserve">Observation closure % (SA8 ÷ SA7)</t>
  </si>
  <si>
    <t xml:space="preserve">SA11</t>
  </si>
  <si>
    <t xml:space="preserve">Date audited accounts approved by Finance Committee</t>
  </si>
  <si>
    <t xml:space="preserve">SA12</t>
  </si>
  <si>
    <t xml:space="preserve">Date audited accounts approved by BOM / Governing Body</t>
  </si>
  <si>
    <t xml:space="preserve">SA13</t>
  </si>
  <si>
    <t xml:space="preserve">Audited accounts submitted to regulator / hosted on website? (Yes / No)</t>
  </si>
  <si>
    <t xml:space="preserve">Other external audits (select Yes / No / Not Applicable)</t>
  </si>
  <si>
    <t xml:space="preserve">B1</t>
  </si>
  <si>
    <t xml:space="preserve">Income-tax audit (Form 10B / 10BB)</t>
  </si>
  <si>
    <t xml:space="preserve">B2</t>
  </si>
  <si>
    <t xml:space="preserve">GST audit / annual reconciliation</t>
  </si>
  <si>
    <t xml:space="preserve">B3</t>
  </si>
  <si>
    <t xml:space="preserve">Audit / Utilisation Certificates of grants by funding agencies</t>
  </si>
  <si>
    <t xml:space="preserve">B4</t>
  </si>
  <si>
    <t xml:space="preserve">Government / State audit (if applicable)</t>
  </si>
  <si>
    <t xml:space="preserve">B5</t>
  </si>
  <si>
    <t xml:space="preserve">Any other external financial audit (specify)</t>
  </si>
  <si>
    <t xml:space="preserve">Other external audits conducted (count)</t>
  </si>
  <si>
    <t xml:space="preserve">Filling rules: (1) Cream cells only. (2) Dates as dd-mm-yyyy. (3) If the opinion is not Unqualified, attach the management reply and corrective action. (4) Give the page / minute reference in 'Evidence Reference'.</t>
  </si>
  <si>
    <t xml:space="preserve">SHEET 5 – RISK MANAGEMENT APPROACHES (OPTION c)</t>
  </si>
  <si>
    <t xml:space="preserve">For each financial year, select the status of each approach: Implemented / Partially implemented / Not implemented / Not applicable. 'Implemented' means a documented, approved mechanism that is actually operating, with evidence for that year.</t>
  </si>
  <si>
    <t xml:space="preserve">Risk management approach</t>
  </si>
  <si>
    <t xml:space="preserve">Evidence (policy / minutes / document)</t>
  </si>
  <si>
    <t xml:space="preserve">Risk Management Policy approved by BOM / Governing Body</t>
  </si>
  <si>
    <t xml:space="preserve">Risk Management / Audit Committee constituted and meeting</t>
  </si>
  <si>
    <t xml:space="preserve">Institutional financial risk register maintained &amp; reviewed (Sheet 6)</t>
  </si>
  <si>
    <t xml:space="preserve">Annual budget with periodic budget-vs-actual variance review</t>
  </si>
  <si>
    <t xml:space="preserve">Delegation of financial powers &amp; approval hierarchy (ordinance / SOP)</t>
  </si>
  <si>
    <t xml:space="preserve">Segregation of duties / maker-checker controls in ERP / accounting system</t>
  </si>
  <si>
    <t xml:space="preserve">Investment policy with exposure limits per instrument &amp; bank (link 4.3)</t>
  </si>
  <si>
    <t xml:space="preserve">Insurance cover – assets, students, staff, liability</t>
  </si>
  <si>
    <t xml:space="preserve">Cyber-security, data backup &amp; access controls for finance systems</t>
  </si>
  <si>
    <t xml:space="preserve">Fraud prevention, whistle-blower &amp; vigilance mechanism</t>
  </si>
  <si>
    <t xml:space="preserve">Statutory compliance calendar – TDS, GST, PF, ESI, returns</t>
  </si>
  <si>
    <t xml:space="preserve">Contingency / reserve fund &amp; business continuity plan (link 4.3)</t>
  </si>
  <si>
    <t xml:space="preserve">Approaches 'Implemented' (count of 12)</t>
  </si>
  <si>
    <t xml:space="preserve">Approaches 'Partially implemented' (count)</t>
  </si>
  <si>
    <t xml:space="preserve">SHEET 6 – INSTITUTIONAL FINANCIAL RISK REGISTER</t>
  </si>
  <si>
    <t xml:space="preserve">Score each risk for Likelihood and Impact on a 1–5 scale (1 = very low, 5 = very high). Score = Likelihood × Impact; Rating: 15–25 High, 8–14 Medium, 1–7 Low. The risks and mitigations listed are typical for a private university – edit the grey text to reflect [University Name]'s own assessment and add rows as needed. Review the register at least once a year and record the review date below.</t>
  </si>
  <si>
    <t xml:space="preserve">Risk description</t>
  </si>
  <si>
    <t xml:space="preserve">Category</t>
  </si>
  <si>
    <t xml:space="preserve">Likelihood
(1–5)</t>
  </si>
  <si>
    <t xml:space="preserve">Impact
(1–5)</t>
  </si>
  <si>
    <t xml:space="preserve">Score</t>
  </si>
  <si>
    <t xml:space="preserve">Rating</t>
  </si>
  <si>
    <t xml:space="preserve">Mitigation / control measures</t>
  </si>
  <si>
    <t xml:space="preserve">Risk owner</t>
  </si>
  <si>
    <t xml:space="preserve">Status</t>
  </si>
  <si>
    <t xml:space="preserve">Shortfall in admissions / fee revenue</t>
  </si>
  <si>
    <t xml:space="preserve">Revenue</t>
  </si>
  <si>
    <t xml:space="preserve">Programme review, outreach, diversified income (consultancy, training)</t>
  </si>
  <si>
    <t xml:space="preserve">Registrar / Admissions</t>
  </si>
  <si>
    <t xml:space="preserve">Open</t>
  </si>
  <si>
    <t xml:space="preserve">Delays / defaults in fee receivables &amp; reimbursements</t>
  </si>
  <si>
    <t xml:space="preserve">Liquidity</t>
  </si>
  <si>
    <t xml:space="preserve">Fee-collection calendar, follow-up of government reimbursements, receivables ageing review</t>
  </si>
  <si>
    <t xml:space="preserve">Finance Officer</t>
  </si>
  <si>
    <t xml:space="preserve">Cost escalation – salaries, utilities, maintenance</t>
  </si>
  <si>
    <t xml:space="preserve">Expenditure</t>
  </si>
  <si>
    <t xml:space="preserve">Annual budget, variance review, energy conservation, centralised procurement</t>
  </si>
  <si>
    <t xml:space="preserve">Credit / default risk of banks or instruments where funds are invested</t>
  </si>
  <si>
    <t xml:space="preserve">Investment</t>
  </si>
  <si>
    <t xml:space="preserve">Investment policy limits, rated instruments, spread across banks (Metric 4.3)</t>
  </si>
  <si>
    <t xml:space="preserve">Finance Committee</t>
  </si>
  <si>
    <t xml:space="preserve">Fraud, misappropriation or unauthorised payments</t>
  </si>
  <si>
    <t xml:space="preserve">Control</t>
  </si>
  <si>
    <t xml:space="preserve">Maker-checker in ERP, delegation of powers, internal audit, whistle-blower policy</t>
  </si>
  <si>
    <t xml:space="preserve">Finance Officer / Internal Auditor</t>
  </si>
  <si>
    <t xml:space="preserve">Non-compliance with tax / statutory dues (TDS, GST, PF)</t>
  </si>
  <si>
    <t xml:space="preserve">Compliance</t>
  </si>
  <si>
    <t xml:space="preserve">Compliance calendar, monthly reconciliations, tax audit</t>
  </si>
  <si>
    <t xml:space="preserve">Accounts Head</t>
  </si>
  <si>
    <t xml:space="preserve">Loss or breach of financial data / ERP failure</t>
  </si>
  <si>
    <t xml:space="preserve">Technology</t>
  </si>
  <si>
    <t xml:space="preserve">Access controls, backups, cyber-security audit, disaster recovery</t>
  </si>
  <si>
    <t xml:space="preserve">IT Head</t>
  </si>
  <si>
    <t xml:space="preserve">Loan repayment / liquidity mismatch</t>
  </si>
  <si>
    <t xml:space="preserve">Cash-flow forecasting, sinking / contingency fund</t>
  </si>
  <si>
    <t xml:space="preserve">Non-utilisation or disallowance of grants</t>
  </si>
  <si>
    <t xml:space="preserve">Grant tracking, timely Utilisation Certificates, project audit</t>
  </si>
  <si>
    <t xml:space="preserve">Research Office</t>
  </si>
  <si>
    <t xml:space="preserve">Damage or loss of assets (fire, theft, natural events)</t>
  </si>
  <si>
    <t xml:space="preserve">Operational</t>
  </si>
  <si>
    <t xml:space="preserve">Insurance cover, safety audit, asset register verification</t>
  </si>
  <si>
    <t xml:space="preserve">Estate Officer</t>
  </si>
  <si>
    <t xml:space="preserve">High risks</t>
  </si>
  <si>
    <t xml:space="preserve">Medium risks</t>
  </si>
  <si>
    <t xml:space="preserve">Low risks</t>
  </si>
  <si>
    <t xml:space="preserve">Risks scored (total)</t>
  </si>
  <si>
    <t xml:space="preserve">Date of last review of risk register (input)</t>
  </si>
  <si>
    <t xml:space="preserve">Reviewed by (Committee): </t>
  </si>
  <si>
    <t xml:space="preserve">SHEET 7 – SUMMARY, OPTION COMPLIANCE &amp; CONTROL INDICATORS</t>
  </si>
  <si>
    <t xml:space="preserve">This sheet is fully formula-driven from Sheets 3 to 6 – do not type here. Section A shows whether options (a), (b) and (c) can be claimed on the NAAC portal; Sections B to D show how strong each mechanism is.</t>
  </si>
  <si>
    <t xml:space="preserve">A.  NAAC OPTION COMPLIANCE (ASSESSMENT PERIOD FY 2023-24 TO 2025-26)</t>
  </si>
  <si>
    <t xml:space="preserve">Status for NAAC</t>
  </si>
  <si>
    <t xml:space="preserve">Basis</t>
  </si>
  <si>
    <t xml:space="preserve">(a)</t>
  </si>
  <si>
    <t xml:space="preserve">≥ 1 internal audit report in each NAAC year</t>
  </si>
  <si>
    <t xml:space="preserve">(b)</t>
  </si>
  <si>
    <t xml:space="preserve">Audit report dated for each NAAC year</t>
  </si>
  <si>
    <t xml:space="preserve">(c)</t>
  </si>
  <si>
    <t xml:space="preserve">≥ 6 of 12 approaches implemented in FY 2025-26</t>
  </si>
  <si>
    <t xml:space="preserve">Options fully met (out of 3)</t>
  </si>
  <si>
    <t xml:space="preserve">B.  OPTION (a) – INTERNAL AUDIT INDICATORS</t>
  </si>
  <si>
    <t xml:space="preserve">Internal auditor appointed</t>
  </si>
  <si>
    <t xml:space="preserve">—</t>
  </si>
  <si>
    <t xml:space="preserve">Frequency</t>
  </si>
  <si>
    <t xml:space="preserve">Internal audit reports issued</t>
  </si>
  <si>
    <t xml:space="preserve">Observations raised</t>
  </si>
  <si>
    <t xml:space="preserve">Observations complied</t>
  </si>
  <si>
    <t xml:space="preserve">B6</t>
  </si>
  <si>
    <t xml:space="preserve">Observation closure %</t>
  </si>
  <si>
    <t xml:space="preserve">B7</t>
  </si>
  <si>
    <t xml:space="preserve">Audit area coverage %</t>
  </si>
  <si>
    <t xml:space="preserve">B8</t>
  </si>
  <si>
    <t xml:space="preserve">ATR placed before Finance / Audit Committee</t>
  </si>
  <si>
    <t xml:space="preserve">B9</t>
  </si>
  <si>
    <t xml:space="preserve">Interpretation – internal audit effectiveness</t>
  </si>
  <si>
    <t xml:space="preserve">C.  OPTION (b) – STATUTORY &amp; EXTERNAL AUDIT INDICATORS</t>
  </si>
  <si>
    <t xml:space="preserve">Days from FY end to audit report</t>
  </si>
  <si>
    <t xml:space="preserve">Audit observations raised</t>
  </si>
  <si>
    <t xml:space="preserve">Audit observations complied</t>
  </si>
  <si>
    <t xml:space="preserve">Audited accounts approved by BOM / Governing Body on</t>
  </si>
  <si>
    <t xml:space="preserve">Interpretation – timeliness (indicative)</t>
  </si>
  <si>
    <t xml:space="preserve">D.  OPTION (c) – RISK MANAGEMENT INDICATORS</t>
  </si>
  <si>
    <t xml:space="preserve">D1</t>
  </si>
  <si>
    <t xml:space="preserve">Approaches implemented (of 12)</t>
  </si>
  <si>
    <t xml:space="preserve">D2</t>
  </si>
  <si>
    <t xml:space="preserve">Approaches partially implemented</t>
  </si>
  <si>
    <t xml:space="preserve">D3</t>
  </si>
  <si>
    <t xml:space="preserve">Risk Management Policy status</t>
  </si>
  <si>
    <t xml:space="preserve">D4</t>
  </si>
  <si>
    <t xml:space="preserve">Interpretation (indicative)</t>
  </si>
  <si>
    <t xml:space="preserve">Current risk register (Sheet 6)</t>
  </si>
  <si>
    <t xml:space="preserve">Count</t>
  </si>
  <si>
    <t xml:space="preserve">R1</t>
  </si>
  <si>
    <t xml:space="preserve">High risks (score 15–25)</t>
  </si>
  <si>
    <t xml:space="preserve">R2</t>
  </si>
  <si>
    <t xml:space="preserve">Medium risks (score 8–14)</t>
  </si>
  <si>
    <t xml:space="preserve">R3</t>
  </si>
  <si>
    <t xml:space="preserve">Low risks (score 1–7)</t>
  </si>
  <si>
    <t xml:space="preserve">R4</t>
  </si>
  <si>
    <t xml:space="preserve">Total risks scored</t>
  </si>
  <si>
    <t xml:space="preserve">R5</t>
  </si>
  <si>
    <t xml:space="preserve">Date of last risk register review</t>
  </si>
  <si>
    <t xml:space="preserve">E.  CHART – OBSERVATION CLOSURE % (INTERNAL vs STATUTORY AUDIT)</t>
  </si>
  <si>
    <t xml:space="preserve">Reading the results: The strongest position is an internal audit in every year with ≥ 90% closure of observations, an unqualified statutory audit report issued within about six months of year-end with accounts approved by the BOM, and a board-approved risk management framework with most approaches implemented and a reviewed risk register.</t>
  </si>
  <si>
    <t xml:space="preserve">SHEET 8 – WORKED EXAMPLE (HYPOTHETICAL DATA – FOR UNDERSTANDING ONLY)</t>
  </si>
  <si>
    <t xml:space="preserve">The data below is purely illustrative and does NOT represent any institution. It shows how the entries in Sheets 3 to 6 translate into option status and indicators.</t>
  </si>
  <si>
    <t xml:space="preserve">Step 1 – Internal audit</t>
  </si>
  <si>
    <t xml:space="preserve">Particulars</t>
  </si>
  <si>
    <t xml:space="preserve">Quarterly</t>
  </si>
  <si>
    <t xml:space="preserve">Half-yearly</t>
  </si>
  <si>
    <t xml:space="preserve">Reports issued</t>
  </si>
  <si>
    <t xml:space="preserve">Closure %</t>
  </si>
  <si>
    <t xml:space="preserve">Areas covered (of 12)</t>
  </si>
  <si>
    <t xml:space="preserve">Step 2 – Statutory audit</t>
  </si>
  <si>
    <t xml:space="preserve">Audit report date</t>
  </si>
  <si>
    <t xml:space="preserve">Days from FY end to report</t>
  </si>
  <si>
    <t xml:space="preserve">Unqualified</t>
  </si>
  <si>
    <t xml:space="preserve">Step 3 – Risk management</t>
  </si>
  <si>
    <t xml:space="preserve">Interpretation</t>
  </si>
  <si>
    <t xml:space="preserve">How to read this example</t>
  </si>
  <si>
    <t xml:space="preserve">1.  Option (a) – YES: Internal audit was done quarterly in all three NAAC years (12 reports). Observation closure improved from 75.0% (FY 2022-23) to 84.6%, 88.9% and 92.1% (FY 2025-26 – Strong), and coverage widened to all 12 audit areas.
2.  Option (b) – YES: Statutory audit reports were issued every year with an unqualified opinion. The time taken to close the audit fell from 198 days to 150 days after year-end (Timely). Statutory observations closed fully (100%) in FY 2025-26.
3.  Option (c) – YES: Risk management approaches grew from 4 (Developing) to 11 of 12 (Comprehensive) after a board-approved policy and risk register were introduced.
4.  In the narrative, show improvement over time: more frequent audits, better closure, faster audit and a maturing risk framework demonstrate effective financial control.</t>
  </si>
  <si>
    <t xml:space="preserve">SHEET 9 – SUPPORTING DOCUMENT CHECKLIST</t>
  </si>
  <si>
    <t xml:space="preserve">Select the status for each document and financial year (Available / Pending / Not Applicable). Items 1 and 2 are mandatory as per NAAC; the rest are recommended evidence for Data Validation &amp; Verification (DVV).</t>
  </si>
  <si>
    <t xml:space="preserve">Document</t>
  </si>
  <si>
    <t xml:space="preserve">Purpose / What to highlight</t>
  </si>
  <si>
    <t xml:space="preserve">Responsibility</t>
  </si>
  <si>
    <t xml:space="preserve">File name / Link / Remarks</t>
  </si>
  <si>
    <t xml:space="preserve">Audited Income &amp; Expenditure statement &amp; Balance Sheet – certified by CA (MANDATORY)</t>
  </si>
  <si>
    <t xml:space="preserve">Auditor's report, signature, UDIN, countersignature</t>
  </si>
  <si>
    <t xml:space="preserve">Pending</t>
  </si>
  <si>
    <t xml:space="preserve">CA-certified audit extract (MANDATORY – Sheet 10 format)</t>
  </si>
  <si>
    <t xml:space="preserve">Must match Sheet 7</t>
  </si>
  <si>
    <t xml:space="preserve">Internal auditor appointment letter &amp; scope of work</t>
  </si>
  <si>
    <t xml:space="preserve">Option (a)</t>
  </si>
  <si>
    <t xml:space="preserve">Internal audit reports</t>
  </si>
  <si>
    <t xml:space="preserve">Option (a) – one per audit cycle</t>
  </si>
  <si>
    <t xml:space="preserve">Action Taken Reports (ATR) on internal audit</t>
  </si>
  <si>
    <t xml:space="preserve">Closure of observations</t>
  </si>
  <si>
    <t xml:space="preserve">Statutory auditor appointment resolution</t>
  </si>
  <si>
    <t xml:space="preserve">Option (b)</t>
  </si>
  <si>
    <t xml:space="preserve">Registrar</t>
  </si>
  <si>
    <t xml:space="preserve">Statutory audit report with management replies</t>
  </si>
  <si>
    <t xml:space="preserve">Opinion and observations</t>
  </si>
  <si>
    <t xml:space="preserve">Finance Committee &amp; BOM minutes approving audited accounts</t>
  </si>
  <si>
    <t xml:space="preserve">Income-tax audit report (Form 10B / 10BB) &amp; GST reconciliation</t>
  </si>
  <si>
    <t xml:space="preserve">Risk Management Policy (approved)</t>
  </si>
  <si>
    <t xml:space="preserve">Option (c)</t>
  </si>
  <si>
    <t xml:space="preserve">Risk register &amp; Risk / Audit Committee minutes</t>
  </si>
  <si>
    <t xml:space="preserve">Finance Officer / IQAC</t>
  </si>
  <si>
    <t xml:space="preserve">Delegation of financial powers ordinance / SOP</t>
  </si>
  <si>
    <t xml:space="preserve">Option (c) – links to Metric 7.2</t>
  </si>
  <si>
    <t xml:space="preserve">Insurance policies (assets, students, staff)</t>
  </si>
  <si>
    <t xml:space="preserve">Estate / Finance Office</t>
  </si>
  <si>
    <t xml:space="preserve">Documents Available (count)</t>
  </si>
  <si>
    <t xml:space="preserve">CERTIFICATE BY CHARTERED ACCOUNTANT</t>
  </si>
  <si>
    <t xml:space="preserve">(To be printed on the letterhead of the Chartered Accountant firm)</t>
  </si>
  <si>
    <t xml:space="preserve">Ref. No.: ____________________                                                                 Date: ____________________</t>
  </si>
  <si>
    <t xml:space="preserve">Sub.: Certificate on Financial Controls of [University Name] for NAAC Metric 4.4 – Financial Controls and Risk Management (Binary Accreditation Framework) – Financial Years 2022-23 to 2025-26</t>
  </si>
  <si>
    <t xml:space="preserve">This is to certify that, based on our examination of the audited financial statements, audit reports, internal audit reports and related records of [University Name], the following mechanisms of financial control were in place during the financial years mentioned below:</t>
  </si>
  <si>
    <t xml:space="preserve">S. No.</t>
  </si>
  <si>
    <t xml:space="preserve">Financial Year</t>
  </si>
  <si>
    <t xml:space="preserve">Statutory audit report date</t>
  </si>
  <si>
    <t xml:space="preserve">Days from year-end</t>
  </si>
  <si>
    <t xml:space="preserve">We further certify that (i) the accounts of the University for each of the above years have been audited by an independent Chartered Accountant firm and approved by the competent authorities; (ii) internal audits were carried out during the years as indicated above; (iii) other external audits such as income-tax audit were conducted where applicable; and (iv) the University has the risk management mechanisms recorded in its risk management policy and risk register. The relevant components have been highlighted in the audited statements enclosed herewith.</t>
  </si>
  <si>
    <t xml:space="preserve">For ____________________ (CA Firm Name)</t>
  </si>
  <si>
    <t xml:space="preserve">Countersigned by</t>
  </si>
  <si>
    <t xml:space="preserve">Chartered Accountants, FRN: __________</t>
  </si>
  <si>
    <t xml:space="preserve">Registrar / Finance Officer</t>
  </si>
  <si>
    <t xml:space="preserve">[University Name]</t>
  </si>
  <si>
    <t xml:space="preserve">(Signature &amp; Seal)</t>
  </si>
  <si>
    <t xml:space="preserve">Name of Partner: ____________________</t>
  </si>
  <si>
    <t xml:space="preserve">Membership No.: __________   UDIN: __________</t>
  </si>
  <si>
    <t xml:space="preserve">Place: [City]                         Enclosures: Audited statements, audit reports and internal audit summaries for FY 2022-23 to 2025-26</t>
  </si>
</sst>
</file>

<file path=xl/styles.xml><?xml version="1.0" encoding="utf-8"?>
<styleSheet xmlns="http://schemas.openxmlformats.org/spreadsheetml/2006/main">
  <numFmts count="8">
    <numFmt numFmtId="164" formatCode="General"/>
    <numFmt numFmtId="165" formatCode="@"/>
    <numFmt numFmtId="166" formatCode="dd\-mmm\-yyyy"/>
    <numFmt numFmtId="167" formatCode="0;\(0\);\-"/>
    <numFmt numFmtId="168" formatCode="0.0%;\(0.0%\);\-"/>
    <numFmt numFmtId="169" formatCode="0&quot; days&quot;;\(0&quot; days)&quot;;\-"/>
    <numFmt numFmtId="170" formatCode="General"/>
    <numFmt numFmtId="171" formatCode="0%"/>
  </numFmts>
  <fonts count="38">
    <font>
      <sz val="11"/>
      <color theme="1"/>
      <name val="Calibri"/>
      <family val="2"/>
      <charset val="1"/>
    </font>
    <font>
      <sz val="10"/>
      <name val="Arial"/>
      <family val="0"/>
    </font>
    <font>
      <sz val="10"/>
      <name val="Arial"/>
      <family val="0"/>
    </font>
    <font>
      <sz val="10"/>
      <name val="Arial"/>
      <family val="0"/>
    </font>
    <font>
      <b val="true"/>
      <sz val="24"/>
      <color rgb="FFC9A227"/>
      <name val="Calibri"/>
      <family val="0"/>
      <charset val="1"/>
    </font>
    <font>
      <b val="true"/>
      <sz val="18"/>
      <color rgb="FF1F3864"/>
      <name val="Calibri"/>
      <family val="0"/>
      <charset val="1"/>
    </font>
    <font>
      <b val="true"/>
      <sz val="16"/>
      <color rgb="FF1F3864"/>
      <name val="Calibri"/>
      <family val="0"/>
      <charset val="1"/>
    </font>
    <font>
      <b val="true"/>
      <sz val="20"/>
      <color rgb="FF1F3864"/>
      <name val="Calibri"/>
      <family val="0"/>
      <charset val="1"/>
    </font>
    <font>
      <b val="true"/>
      <sz val="16"/>
      <color rgb="FFC9A227"/>
      <name val="Calibri"/>
      <family val="0"/>
      <charset val="1"/>
    </font>
    <font>
      <i val="true"/>
      <sz val="14"/>
      <color rgb="FF404040"/>
      <name val="Calibri"/>
      <family val="0"/>
      <charset val="1"/>
    </font>
    <font>
      <b val="true"/>
      <sz val="16"/>
      <color rgb="FFFFFFFF"/>
      <name val="Calibri"/>
      <family val="0"/>
      <charset val="1"/>
    </font>
    <font>
      <sz val="14"/>
      <color rgb="FF000000"/>
      <name val="Calibri"/>
      <family val="0"/>
      <charset val="1"/>
    </font>
    <font>
      <b val="true"/>
      <sz val="14"/>
      <color rgb="FFFFFFFF"/>
      <name val="Calibri"/>
      <family val="0"/>
      <charset val="1"/>
    </font>
    <font>
      <b val="true"/>
      <sz val="14"/>
      <color rgb="FF0000FF"/>
      <name val="Calibri"/>
      <family val="0"/>
      <charset val="1"/>
    </font>
    <font>
      <b val="true"/>
      <sz val="14"/>
      <color rgb="FF000000"/>
      <name val="Calibri"/>
      <family val="0"/>
      <charset val="1"/>
    </font>
    <font>
      <b val="true"/>
      <sz val="14"/>
      <color rgb="FF008000"/>
      <name val="Calibri"/>
      <family val="0"/>
      <charset val="1"/>
    </font>
    <font>
      <b val="true"/>
      <sz val="14"/>
      <color rgb="FFC9A227"/>
      <name val="Calibri"/>
      <family val="0"/>
      <charset val="1"/>
    </font>
    <font>
      <i val="true"/>
      <sz val="12"/>
      <color rgb="FF595959"/>
      <name val="Calibri"/>
      <family val="0"/>
      <charset val="1"/>
    </font>
    <font>
      <i val="true"/>
      <sz val="12"/>
      <color rgb="FFC00000"/>
      <name val="Calibri"/>
      <family val="0"/>
      <charset val="1"/>
    </font>
    <font>
      <b val="true"/>
      <sz val="20"/>
      <color rgb="FFC9A227"/>
      <name val="Calibri"/>
      <family val="0"/>
      <charset val="1"/>
    </font>
    <font>
      <b val="true"/>
      <sz val="14"/>
      <color rgb="FF1F3864"/>
      <name val="Calibri"/>
      <family val="0"/>
      <charset val="1"/>
    </font>
    <font>
      <sz val="14"/>
      <color rgb="FF0000FF"/>
      <name val="Calibri"/>
      <family val="0"/>
      <charset val="1"/>
    </font>
    <font>
      <i val="true"/>
      <sz val="13"/>
      <color rgb="FF404040"/>
      <name val="Calibri"/>
      <family val="0"/>
      <charset val="1"/>
    </font>
    <font>
      <b val="true"/>
      <sz val="13"/>
      <color rgb="FF0000FF"/>
      <name val="Calibri"/>
      <family val="0"/>
      <charset val="1"/>
    </font>
    <font>
      <i val="true"/>
      <sz val="13"/>
      <color rgb="FF808080"/>
      <name val="Calibri"/>
      <family val="0"/>
      <charset val="1"/>
    </font>
    <font>
      <b val="true"/>
      <sz val="16"/>
      <color rgb="FF000000"/>
      <name val="Calibri"/>
      <family val="0"/>
      <charset val="1"/>
    </font>
    <font>
      <b val="true"/>
      <sz val="15"/>
      <color rgb="FF1F3864"/>
      <name val="Calibri"/>
      <family val="0"/>
      <charset val="1"/>
    </font>
    <font>
      <i val="true"/>
      <sz val="12"/>
      <color rgb="FF000000"/>
      <name val="Calibri"/>
      <family val="0"/>
      <charset val="1"/>
    </font>
    <font>
      <b val="true"/>
      <sz val="15"/>
      <color rgb="FFFFFFFF"/>
      <name val="Calibri"/>
      <family val="0"/>
      <charset val="1"/>
    </font>
    <font>
      <sz val="14"/>
      <color rgb="FF008000"/>
      <name val="Calibri"/>
      <family val="0"/>
      <charset val="1"/>
    </font>
    <font>
      <b val="true"/>
      <sz val="13"/>
      <color rgb="FF1F3864"/>
      <name val="Calibri"/>
      <family val="0"/>
      <charset val="1"/>
    </font>
    <font>
      <b val="true"/>
      <sz val="18"/>
      <color rgb="FF000000"/>
      <name val="Calibri"/>
      <family val="2"/>
    </font>
    <font>
      <sz val="10"/>
      <color rgb="FF000000"/>
      <name val="Calibri"/>
      <family val="2"/>
    </font>
    <font>
      <b val="true"/>
      <sz val="10"/>
      <color rgb="FF000000"/>
      <name val="Calibri"/>
      <family val="2"/>
    </font>
    <font>
      <b val="true"/>
      <sz val="18"/>
      <color rgb="FFC9A227"/>
      <name val="Calibri"/>
      <family val="0"/>
      <charset val="1"/>
    </font>
    <font>
      <b val="true"/>
      <sz val="14"/>
      <color rgb="FFC00000"/>
      <name val="Calibri"/>
      <family val="0"/>
      <charset val="1"/>
    </font>
    <font>
      <i val="true"/>
      <sz val="13"/>
      <color rgb="FF595959"/>
      <name val="Calibri"/>
      <family val="0"/>
      <charset val="1"/>
    </font>
    <font>
      <sz val="13"/>
      <color rgb="FF404040"/>
      <name val="Calibri"/>
      <family val="0"/>
      <charset val="1"/>
    </font>
  </fonts>
  <fills count="8">
    <fill>
      <patternFill patternType="none"/>
    </fill>
    <fill>
      <patternFill patternType="gray125"/>
    </fill>
    <fill>
      <patternFill patternType="solid">
        <fgColor rgb="FF1F3864"/>
        <bgColor rgb="FF333399"/>
      </patternFill>
    </fill>
    <fill>
      <patternFill patternType="solid">
        <fgColor rgb="FFFFF4D6"/>
        <bgColor rgb="FFFFFBE6"/>
      </patternFill>
    </fill>
    <fill>
      <patternFill patternType="solid">
        <fgColor rgb="FFF2F2F2"/>
        <bgColor rgb="FFFFFBE6"/>
      </patternFill>
    </fill>
    <fill>
      <patternFill patternType="solid">
        <fgColor rgb="FFFFFBE6"/>
        <bgColor rgb="FFFFF4D6"/>
      </patternFill>
    </fill>
    <fill>
      <patternFill patternType="solid">
        <fgColor rgb="FFDCE3F0"/>
        <bgColor rgb="FFD9D9D9"/>
      </patternFill>
    </fill>
    <fill>
      <patternFill patternType="solid">
        <fgColor rgb="FFFFFFFF"/>
        <bgColor rgb="FFFFFBE6"/>
      </patternFill>
    </fill>
  </fills>
  <borders count="4">
    <border diagonalUp="false" diagonalDown="false">
      <left/>
      <right/>
      <top/>
      <bottom/>
      <diagonal/>
    </border>
    <border diagonalUp="false" diagonalDown="false">
      <left/>
      <right/>
      <top/>
      <bottom style="thick">
        <color rgb="FFC9A227"/>
      </bottom>
      <diagonal/>
    </border>
    <border diagonalUp="false" diagonalDown="false">
      <left style="thin">
        <color rgb="FF8C8C8C"/>
      </left>
      <right style="thin">
        <color rgb="FF8C8C8C"/>
      </right>
      <top style="thin">
        <color rgb="FF8C8C8C"/>
      </top>
      <bottom style="thin">
        <color rgb="FF8C8C8C"/>
      </bottom>
      <diagonal/>
    </border>
    <border diagonalUp="false" diagonalDown="false">
      <left style="thin">
        <color rgb="FF8C8C8C"/>
      </left>
      <right/>
      <top style="thin">
        <color rgb="FF8C8C8C"/>
      </top>
      <bottom style="thin">
        <color rgb="FF8C8C8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2" fillId="2" borderId="2" xfId="0" applyFont="true" applyBorder="true" applyAlignment="true" applyProtection="false">
      <alignment horizontal="center" vertical="center" textRotation="0" wrapText="true" indent="0" shrinkToFit="false"/>
      <protection locked="true" hidden="false"/>
    </xf>
    <xf numFmtId="164" fontId="11" fillId="0" borderId="2" xfId="0" applyFont="true" applyBorder="true" applyAlignment="true" applyProtection="false">
      <alignment horizontal="general" vertical="top" textRotation="0" wrapText="true" indent="0" shrinkToFit="false"/>
      <protection locked="true" hidden="false"/>
    </xf>
    <xf numFmtId="164" fontId="11" fillId="4" borderId="2" xfId="0" applyFont="true" applyBorder="true" applyAlignment="true" applyProtection="false">
      <alignment horizontal="general" vertical="top" textRotation="0" wrapText="true" indent="0" shrinkToFit="false"/>
      <protection locked="true" hidden="false"/>
    </xf>
    <xf numFmtId="164" fontId="13" fillId="5" borderId="2" xfId="0" applyFont="true" applyBorder="true" applyAlignment="true" applyProtection="false">
      <alignment horizontal="left" vertical="center" textRotation="0" wrapText="true" indent="0" shrinkToFit="false"/>
      <protection locked="true" hidden="false"/>
    </xf>
    <xf numFmtId="164" fontId="11" fillId="0" borderId="3" xfId="0" applyFont="true" applyBorder="true" applyAlignment="true" applyProtection="false">
      <alignment horizontal="left" vertical="center" textRotation="0" wrapText="true" indent="0" shrinkToFit="false"/>
      <protection locked="true" hidden="false"/>
    </xf>
    <xf numFmtId="164" fontId="14" fillId="6" borderId="2" xfId="0" applyFont="true" applyBorder="true" applyAlignment="true" applyProtection="false">
      <alignment horizontal="left" vertical="center" textRotation="0" wrapText="true" indent="0" shrinkToFit="false"/>
      <protection locked="true" hidden="false"/>
    </xf>
    <xf numFmtId="164" fontId="15" fillId="7" borderId="2" xfId="0" applyFont="true" applyBorder="true" applyAlignment="true" applyProtection="false">
      <alignment horizontal="left" vertical="center" textRotation="0" wrapText="true" indent="0" shrinkToFit="false"/>
      <protection locked="true" hidden="false"/>
    </xf>
    <xf numFmtId="164" fontId="16" fillId="2" borderId="2" xfId="0" applyFont="true" applyBorder="true" applyAlignment="true" applyProtection="false">
      <alignment horizontal="left" vertical="center" textRotation="0" wrapText="true" indent="0" shrinkToFit="false"/>
      <protection locked="true" hidden="false"/>
    </xf>
    <xf numFmtId="164" fontId="17" fillId="0" borderId="0"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true" applyAlignment="true" applyProtection="false">
      <alignment horizontal="center" vertical="center" textRotation="0" wrapText="true" indent="0" shrinkToFit="false"/>
      <protection locked="true" hidden="false"/>
    </xf>
    <xf numFmtId="164" fontId="19" fillId="2" borderId="0" xfId="0" applyFont="true" applyBorder="true" applyAlignment="true" applyProtection="false">
      <alignment horizontal="center" vertical="center" textRotation="0" wrapText="true" indent="0" shrinkToFit="false"/>
      <protection locked="true" hidden="false"/>
    </xf>
    <xf numFmtId="164" fontId="11" fillId="3" borderId="0" xfId="0" applyFont="true" applyBorder="true" applyAlignment="true" applyProtection="false">
      <alignment horizontal="general" vertical="top" textRotation="0" wrapText="true" indent="0" shrinkToFit="false"/>
      <protection locked="true" hidden="false"/>
    </xf>
    <xf numFmtId="164" fontId="20" fillId="3" borderId="2" xfId="0" applyFont="true" applyBorder="true" applyAlignment="true" applyProtection="false">
      <alignment horizontal="center" vertical="center" textRotation="0" wrapText="true" indent="0" shrinkToFit="false"/>
      <protection locked="true" hidden="false"/>
    </xf>
    <xf numFmtId="164" fontId="20" fillId="3" borderId="2" xfId="0" applyFont="true" applyBorder="true" applyAlignment="false" applyProtection="false">
      <alignment horizontal="general" vertical="bottom" textRotation="0" wrapText="false" indent="0" shrinkToFit="false"/>
      <protection locked="true" hidden="false"/>
    </xf>
    <xf numFmtId="164" fontId="0" fillId="3" borderId="2" xfId="0" applyFont="false" applyBorder="true" applyAlignment="false" applyProtection="false">
      <alignment horizontal="general" vertical="bottom" textRotation="0" wrapText="false" indent="0" shrinkToFit="false"/>
      <protection locked="true" hidden="false"/>
    </xf>
    <xf numFmtId="164" fontId="14" fillId="0" borderId="2" xfId="0" applyFont="true" applyBorder="true" applyAlignment="true" applyProtection="false">
      <alignment horizontal="center" vertical="center" textRotation="0" wrapText="true" indent="0" shrinkToFit="false"/>
      <protection locked="true" hidden="false"/>
    </xf>
    <xf numFmtId="165" fontId="21" fillId="5" borderId="2"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21" fillId="5" borderId="2" xfId="0" applyFont="true" applyBorder="true" applyAlignment="true" applyProtection="false">
      <alignment horizontal="general" vertical="top" textRotation="0" wrapText="true" indent="0" shrinkToFit="false"/>
      <protection locked="true" hidden="false"/>
    </xf>
    <xf numFmtId="165" fontId="21" fillId="5" borderId="2" xfId="0" applyFont="true" applyBorder="true" applyAlignment="true" applyProtection="false">
      <alignment horizontal="general" vertical="top" textRotation="0" wrapText="true" indent="0" shrinkToFit="false"/>
      <protection locked="true" hidden="false"/>
    </xf>
    <xf numFmtId="166" fontId="21" fillId="5" borderId="2" xfId="0" applyFont="true" applyBorder="true" applyAlignment="true" applyProtection="false">
      <alignment horizontal="center" vertical="center" textRotation="0" wrapText="true" indent="0" shrinkToFit="false"/>
      <protection locked="true" hidden="false"/>
    </xf>
    <xf numFmtId="167" fontId="21" fillId="5" borderId="2" xfId="0" applyFont="true" applyBorder="true" applyAlignment="true" applyProtection="false">
      <alignment horizontal="center" vertical="center" textRotation="0" wrapText="true" indent="0" shrinkToFit="false"/>
      <protection locked="true" hidden="false"/>
    </xf>
    <xf numFmtId="167" fontId="11" fillId="6" borderId="2" xfId="0" applyFont="true" applyBorder="true" applyAlignment="true" applyProtection="false">
      <alignment horizontal="right" vertical="center" textRotation="0" wrapText="true" indent="0" shrinkToFit="false"/>
      <protection locked="true" hidden="false"/>
    </xf>
    <xf numFmtId="164" fontId="14" fillId="0" borderId="2" xfId="0" applyFont="true" applyBorder="true" applyAlignment="true" applyProtection="false">
      <alignment horizontal="general" vertical="top" textRotation="0" wrapText="true" indent="0" shrinkToFit="false"/>
      <protection locked="true" hidden="false"/>
    </xf>
    <xf numFmtId="167" fontId="14" fillId="6" borderId="2" xfId="0" applyFont="true" applyBorder="true" applyAlignment="true" applyProtection="false">
      <alignment horizontal="right" vertical="center" textRotation="0" wrapText="true" indent="0" shrinkToFit="false"/>
      <protection locked="true" hidden="false"/>
    </xf>
    <xf numFmtId="168" fontId="14" fillId="6" borderId="2" xfId="0" applyFont="true" applyBorder="true" applyAlignment="true" applyProtection="false">
      <alignment horizontal="right" vertical="center" textRotation="0" wrapText="true" indent="0" shrinkToFit="false"/>
      <protection locked="true" hidden="false"/>
    </xf>
    <xf numFmtId="164" fontId="22" fillId="0" borderId="0" xfId="0" applyFont="true" applyBorder="true" applyAlignment="true" applyProtection="false">
      <alignment horizontal="general" vertical="top" textRotation="0" wrapText="true" indent="0" shrinkToFit="false"/>
      <protection locked="true" hidden="false"/>
    </xf>
    <xf numFmtId="169" fontId="14" fillId="6" borderId="2" xfId="0" applyFont="true" applyBorder="true" applyAlignment="true" applyProtection="false">
      <alignment horizontal="right" vertical="center" textRotation="0" wrapText="true" indent="0" shrinkToFit="false"/>
      <protection locked="true" hidden="false"/>
    </xf>
    <xf numFmtId="164" fontId="23" fillId="5" borderId="2" xfId="0" applyFont="true" applyBorder="true" applyAlignment="true" applyProtection="false">
      <alignment horizontal="center" vertical="center" textRotation="0" wrapText="true" indent="0" shrinkToFit="false"/>
      <protection locked="true" hidden="false"/>
    </xf>
    <xf numFmtId="164" fontId="11" fillId="0" borderId="2" xfId="0" applyFont="true" applyBorder="true" applyAlignment="true" applyProtection="false">
      <alignment horizontal="center" vertical="center" textRotation="0" wrapText="true" indent="0" shrinkToFit="false"/>
      <protection locked="true" hidden="false"/>
    </xf>
    <xf numFmtId="164" fontId="13" fillId="5" borderId="2" xfId="0" applyFont="true" applyBorder="true" applyAlignment="true" applyProtection="false">
      <alignment horizontal="center" vertical="center" textRotation="0" wrapText="true" indent="0" shrinkToFit="false"/>
      <protection locked="true" hidden="false"/>
    </xf>
    <xf numFmtId="164" fontId="14" fillId="6" borderId="2" xfId="0" applyFont="true" applyBorder="true" applyAlignment="true" applyProtection="false">
      <alignment horizontal="center" vertical="center" textRotation="0" wrapText="true" indent="0" shrinkToFit="false"/>
      <protection locked="true" hidden="false"/>
    </xf>
    <xf numFmtId="164" fontId="24" fillId="5" borderId="2" xfId="0" applyFont="true" applyBorder="true" applyAlignment="true" applyProtection="false">
      <alignment horizontal="general" vertical="top" textRotation="0" wrapText="true" indent="0" shrinkToFit="false"/>
      <protection locked="true" hidden="false"/>
    </xf>
    <xf numFmtId="164" fontId="21" fillId="5" borderId="2" xfId="0" applyFont="true" applyBorder="true" applyAlignment="true" applyProtection="false">
      <alignment horizontal="center" vertical="center" textRotation="0" wrapText="true" indent="0" shrinkToFit="false"/>
      <protection locked="true" hidden="false"/>
    </xf>
    <xf numFmtId="164" fontId="12" fillId="2" borderId="2" xfId="0" applyFont="true" applyBorder="true" applyAlignment="false" applyProtection="false">
      <alignment horizontal="general" vertical="bottom" textRotation="0" wrapText="false" indent="0" shrinkToFit="false"/>
      <protection locked="true" hidden="false"/>
    </xf>
    <xf numFmtId="164" fontId="14" fillId="0" borderId="2" xfId="0" applyFont="true" applyBorder="true" applyAlignment="false" applyProtection="false">
      <alignment horizontal="general" vertical="bottom" textRotation="0" wrapText="false" indent="0" shrinkToFit="false"/>
      <protection locked="true" hidden="false"/>
    </xf>
    <xf numFmtId="166" fontId="21" fillId="5" borderId="2" xfId="0" applyFont="true" applyBorder="true" applyAlignment="false" applyProtection="false">
      <alignment horizontal="general" vertical="bottom" textRotation="0" wrapText="false" indent="0" shrinkToFit="false"/>
      <protection locked="true" hidden="false"/>
    </xf>
    <xf numFmtId="164" fontId="21" fillId="5" borderId="2" xfId="0" applyFont="true" applyBorder="true" applyAlignment="false" applyProtection="false">
      <alignment horizontal="general" vertical="bottom" textRotation="0" wrapText="false" indent="0" shrinkToFit="false"/>
      <protection locked="true" hidden="false"/>
    </xf>
    <xf numFmtId="164" fontId="6" fillId="0" borderId="2" xfId="0" applyFont="true" applyBorder="true" applyAlignment="true" applyProtection="false">
      <alignment horizontal="center" vertical="center" textRotation="0" wrapText="true" indent="0" shrinkToFit="false"/>
      <protection locked="true" hidden="false"/>
    </xf>
    <xf numFmtId="164" fontId="25" fillId="0" borderId="2" xfId="0" applyFont="true" applyBorder="true" applyAlignment="false" applyProtection="false">
      <alignment horizontal="general" vertical="bottom" textRotation="0" wrapText="false" indent="0" shrinkToFit="false"/>
      <protection locked="true" hidden="false"/>
    </xf>
    <xf numFmtId="164" fontId="26" fillId="3" borderId="2" xfId="0" applyFont="true" applyBorder="true" applyAlignment="true" applyProtection="false">
      <alignment horizontal="center" vertical="center" textRotation="0" wrapText="true" indent="0" shrinkToFit="false"/>
      <protection locked="true" hidden="false"/>
    </xf>
    <xf numFmtId="164" fontId="27" fillId="0" borderId="2" xfId="0" applyFont="true" applyBorder="true" applyAlignment="true" applyProtection="false">
      <alignment horizontal="general" vertical="top" textRotation="0" wrapText="tru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64" fontId="28" fillId="2" borderId="2" xfId="0" applyFont="true" applyBorder="true" applyAlignment="false" applyProtection="false">
      <alignment horizontal="general" vertical="bottom" textRotation="0" wrapText="false" indent="0" shrinkToFit="false"/>
      <protection locked="true" hidden="false"/>
    </xf>
    <xf numFmtId="164" fontId="8" fillId="2" borderId="2" xfId="0" applyFont="true" applyBorder="true" applyAlignment="true" applyProtection="false">
      <alignment horizontal="center" vertical="center" textRotation="0" wrapText="true" indent="0" shrinkToFit="false"/>
      <protection locked="true" hidden="false"/>
    </xf>
    <xf numFmtId="165" fontId="29" fillId="6" borderId="2" xfId="0" applyFont="true" applyBorder="true" applyAlignment="true" applyProtection="false">
      <alignment horizontal="right" vertical="center" textRotation="0" wrapText="true" indent="0" shrinkToFit="false"/>
      <protection locked="true" hidden="false"/>
    </xf>
    <xf numFmtId="165" fontId="11" fillId="6" borderId="2" xfId="0" applyFont="true" applyBorder="true" applyAlignment="true" applyProtection="false">
      <alignment horizontal="right" vertical="center" textRotation="0" wrapText="false" indent="0" shrinkToFit="false"/>
      <protection locked="true" hidden="false"/>
    </xf>
    <xf numFmtId="167" fontId="15" fillId="6" borderId="2" xfId="0" applyFont="true" applyBorder="true" applyAlignment="true" applyProtection="false">
      <alignment horizontal="right" vertical="center" textRotation="0" wrapText="true" indent="0" shrinkToFit="false"/>
      <protection locked="true" hidden="false"/>
    </xf>
    <xf numFmtId="167" fontId="14" fillId="6" borderId="2" xfId="0" applyFont="true" applyBorder="true" applyAlignment="true" applyProtection="false">
      <alignment horizontal="right" vertical="center" textRotation="0" wrapText="false" indent="0" shrinkToFit="false"/>
      <protection locked="true" hidden="false"/>
    </xf>
    <xf numFmtId="167" fontId="29" fillId="6" borderId="2" xfId="0" applyFont="true" applyBorder="true" applyAlignment="true" applyProtection="false">
      <alignment horizontal="right" vertical="center" textRotation="0" wrapText="true" indent="0" shrinkToFit="false"/>
      <protection locked="true" hidden="false"/>
    </xf>
    <xf numFmtId="167" fontId="11" fillId="6" borderId="2" xfId="0" applyFont="true" applyBorder="true" applyAlignment="true" applyProtection="false">
      <alignment horizontal="right" vertical="center" textRotation="0" wrapText="false" indent="0" shrinkToFit="false"/>
      <protection locked="true" hidden="false"/>
    </xf>
    <xf numFmtId="168" fontId="14" fillId="6" borderId="2" xfId="0" applyFont="true" applyBorder="true" applyAlignment="true" applyProtection="false">
      <alignment horizontal="right" vertical="center" textRotation="0" wrapText="false" indent="0" shrinkToFit="false"/>
      <protection locked="true" hidden="false"/>
    </xf>
    <xf numFmtId="168" fontId="29" fillId="6" borderId="2" xfId="0" applyFont="true" applyBorder="true" applyAlignment="true" applyProtection="false">
      <alignment horizontal="right" vertical="center" textRotation="0" wrapText="true" indent="0" shrinkToFit="false"/>
      <protection locked="true" hidden="false"/>
    </xf>
    <xf numFmtId="168" fontId="11" fillId="6" borderId="2" xfId="0" applyFont="true" applyBorder="true" applyAlignment="true" applyProtection="false">
      <alignment horizontal="right" vertical="center" textRotation="0" wrapText="false" indent="0" shrinkToFit="false"/>
      <protection locked="true" hidden="false"/>
    </xf>
    <xf numFmtId="164" fontId="30" fillId="3" borderId="2" xfId="0" applyFont="true" applyBorder="true" applyAlignment="true" applyProtection="false">
      <alignment horizontal="center" vertical="center" textRotation="0" wrapText="true" indent="0" shrinkToFit="false"/>
      <protection locked="true" hidden="false"/>
    </xf>
    <xf numFmtId="166" fontId="15" fillId="6" borderId="2" xfId="0" applyFont="true" applyBorder="true" applyAlignment="true" applyProtection="false">
      <alignment horizontal="right" vertical="center" textRotation="0" wrapText="true" indent="0" shrinkToFit="false"/>
      <protection locked="true" hidden="false"/>
    </xf>
    <xf numFmtId="166" fontId="14" fillId="6" borderId="2" xfId="0" applyFont="true" applyBorder="true" applyAlignment="true" applyProtection="false">
      <alignment horizontal="right" vertical="center" textRotation="0" wrapText="false" indent="0" shrinkToFit="false"/>
      <protection locked="true" hidden="false"/>
    </xf>
    <xf numFmtId="169" fontId="29" fillId="6" borderId="2" xfId="0" applyFont="true" applyBorder="true" applyAlignment="true" applyProtection="false">
      <alignment horizontal="right" vertical="center" textRotation="0" wrapText="true" indent="0" shrinkToFit="false"/>
      <protection locked="true" hidden="false"/>
    </xf>
    <xf numFmtId="169" fontId="11" fillId="6" borderId="2" xfId="0" applyFont="true" applyBorder="true" applyAlignment="true" applyProtection="false">
      <alignment horizontal="right" vertical="center" textRotation="0" wrapText="false" indent="0" shrinkToFit="false"/>
      <protection locked="true" hidden="false"/>
    </xf>
    <xf numFmtId="165" fontId="15" fillId="6" borderId="2" xfId="0" applyFont="true" applyBorder="true" applyAlignment="true" applyProtection="false">
      <alignment horizontal="right" vertical="center" textRotation="0" wrapText="true" indent="0" shrinkToFit="false"/>
      <protection locked="true" hidden="false"/>
    </xf>
    <xf numFmtId="165" fontId="14" fillId="6" borderId="2" xfId="0" applyFont="true" applyBorder="true" applyAlignment="true" applyProtection="false">
      <alignment horizontal="right" vertical="center" textRotation="0" wrapText="false" indent="0" shrinkToFit="false"/>
      <protection locked="true" hidden="false"/>
    </xf>
    <xf numFmtId="166" fontId="29" fillId="6" borderId="2" xfId="0" applyFont="true" applyBorder="true" applyAlignment="true" applyProtection="false">
      <alignment horizontal="right" vertical="center" textRotation="0" wrapText="true" indent="0" shrinkToFit="false"/>
      <protection locked="true" hidden="false"/>
    </xf>
    <xf numFmtId="166" fontId="11" fillId="6" borderId="2" xfId="0" applyFont="true" applyBorder="true" applyAlignment="true" applyProtection="false">
      <alignment horizontal="right" vertical="center" textRotation="0" wrapText="false" indent="0" shrinkToFit="false"/>
      <protection locked="true" hidden="false"/>
    </xf>
    <xf numFmtId="170" fontId="15" fillId="0" borderId="2" xfId="0" applyFont="true" applyBorder="true" applyAlignment="true" applyProtection="false">
      <alignment horizontal="center" vertical="center" textRotation="0" wrapText="true" indent="0" shrinkToFit="false"/>
      <protection locked="true" hidden="false"/>
    </xf>
    <xf numFmtId="166" fontId="29" fillId="0" borderId="2" xfId="0" applyFont="true" applyBorder="true" applyAlignment="true" applyProtection="false">
      <alignment horizontal="center" vertical="center" textRotation="0" wrapText="true" indent="0" shrinkToFit="false"/>
      <protection locked="true" hidden="false"/>
    </xf>
    <xf numFmtId="164" fontId="34" fillId="2" borderId="0" xfId="0" applyFont="true" applyBorder="true" applyAlignment="true" applyProtection="false">
      <alignment horizontal="center" vertical="center" textRotation="0" wrapText="true" indent="0" shrinkToFit="false"/>
      <protection locked="true" hidden="false"/>
    </xf>
    <xf numFmtId="164" fontId="35" fillId="3" borderId="0" xfId="0" applyFont="true" applyBorder="true" applyAlignment="true" applyProtection="false">
      <alignment horizontal="general" vertical="top" textRotation="0" wrapText="true" indent="0" shrinkToFit="false"/>
      <protection locked="true" hidden="false"/>
    </xf>
    <xf numFmtId="165" fontId="21" fillId="0" borderId="2" xfId="0" applyFont="true" applyBorder="true" applyAlignment="true" applyProtection="false">
      <alignment horizontal="center" vertical="center" textRotation="0" wrapText="true" indent="0" shrinkToFit="false"/>
      <protection locked="true" hidden="false"/>
    </xf>
    <xf numFmtId="167" fontId="21" fillId="0" borderId="2" xfId="0" applyFont="true" applyBorder="true" applyAlignment="true" applyProtection="false">
      <alignment horizontal="center" vertical="center" textRotation="0" wrapText="true" indent="0" shrinkToFit="false"/>
      <protection locked="true" hidden="false"/>
    </xf>
    <xf numFmtId="166" fontId="21" fillId="0" borderId="2" xfId="0" applyFont="true" applyBorder="true" applyAlignment="true" applyProtection="false">
      <alignment horizontal="center" vertical="center" textRotation="0" wrapText="true" indent="0" shrinkToFit="false"/>
      <protection locked="true" hidden="false"/>
    </xf>
    <xf numFmtId="167" fontId="13" fillId="0" borderId="2"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7" fontId="29" fillId="0" borderId="2" xfId="0" applyFont="true" applyBorder="true" applyAlignment="true" applyProtection="false">
      <alignment horizontal="center" vertical="center" textRotation="0" wrapText="true" indent="0" shrinkToFit="false"/>
      <protection locked="true" hidden="false"/>
    </xf>
    <xf numFmtId="164" fontId="29" fillId="0" borderId="2" xfId="0" applyFont="true" applyBorder="true" applyAlignment="true" applyProtection="false">
      <alignment horizontal="center" vertical="center" textRotation="0" wrapText="true" indent="0" shrinkToFit="false"/>
      <protection locked="true" hidden="false"/>
    </xf>
    <xf numFmtId="169" fontId="29" fillId="0" borderId="2"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right" vertical="bottom" textRotation="0" wrapText="false" indent="0" shrinkToFit="false"/>
      <protection locked="true" hidden="false"/>
    </xf>
    <xf numFmtId="164" fontId="37"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ont>
        <name val="Calibri"/>
        <charset val="1"/>
        <family val="0"/>
        <b val="1"/>
        <color rgb="FF006100"/>
        <sz val="14"/>
      </font>
      <fill>
        <patternFill>
          <bgColor rgb="FFC6EFCE"/>
        </patternFill>
      </fill>
    </dxf>
    <dxf>
      <font>
        <name val="Calibri"/>
        <charset val="1"/>
        <family val="0"/>
        <b val="1"/>
        <color rgb="FF9C0006"/>
        <sz val="14"/>
      </font>
      <fill>
        <patternFill>
          <bgColor rgb="FFFFC7CE"/>
        </patternFill>
      </fill>
    </dxf>
    <dxf>
      <font>
        <name val="Calibri"/>
        <charset val="1"/>
        <family val="0"/>
        <b val="1"/>
        <color rgb="FF006100"/>
        <sz val="13"/>
      </font>
      <fill>
        <patternFill>
          <bgColor rgb="FFC6EFCE"/>
        </patternFill>
      </fill>
    </dxf>
    <dxf>
      <font>
        <name val="Calibri"/>
        <charset val="1"/>
        <family val="0"/>
        <b val="1"/>
        <color rgb="FF9C0006"/>
        <sz val="13"/>
      </font>
      <fill>
        <patternFill>
          <bgColor rgb="FFFFC7CE"/>
        </patternFill>
      </fill>
    </dxf>
    <dxf>
      <font>
        <name val="Calibri"/>
        <charset val="1"/>
        <family val="0"/>
        <b val="1"/>
        <color rgb="FF9C5700"/>
        <sz val="13"/>
      </font>
      <fill>
        <patternFill>
          <bgColor rgb="FFFFEB9C"/>
        </patternFill>
      </fill>
    </dxf>
    <dxf>
      <font>
        <name val="Calibri"/>
        <charset val="1"/>
        <family val="0"/>
        <b val="1"/>
        <color rgb="FF9C5700"/>
        <sz val="14"/>
      </font>
      <fill>
        <patternFill>
          <bgColor rgb="FFFFEB9C"/>
        </patternFill>
      </fill>
    </dxf>
    <dxf>
      <font>
        <name val="Calibri"/>
        <charset val="1"/>
        <family val="0"/>
        <b val="1"/>
        <color rgb="FF006100"/>
        <sz val="15"/>
      </font>
      <fill>
        <patternFill>
          <bgColor rgb="FFC6EFCE"/>
        </patternFill>
      </fill>
    </dxf>
    <dxf>
      <font>
        <name val="Calibri"/>
        <charset val="1"/>
        <family val="0"/>
        <b val="1"/>
        <color rgb="FF9C5700"/>
        <sz val="15"/>
      </font>
      <fill>
        <patternFill>
          <bgColor rgb="FFFFEB9C"/>
        </patternFill>
      </fill>
    </dxf>
    <dxf>
      <font>
        <name val="Calibri"/>
        <charset val="1"/>
        <family val="0"/>
        <b val="1"/>
        <color rgb="FF9C0006"/>
        <sz val="15"/>
      </font>
      <fill>
        <patternFill>
          <bgColor rgb="FFFFC7CE"/>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FFFBE6"/>
      <rgbColor rgb="FF808080"/>
      <rgbColor rgb="FF878787"/>
      <rgbColor rgb="FF993366"/>
      <rgbColor rgb="FFFFF4D6"/>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3F0"/>
      <rgbColor rgb="FFC6EFCE"/>
      <rgbColor rgb="FFFFEB9C"/>
      <rgbColor rgb="FF99CCFF"/>
      <rgbColor rgb="FFFF99CC"/>
      <rgbColor rgb="FFCC99FF"/>
      <rgbColor rgb="FFFFC7CE"/>
      <rgbColor rgb="FF3366FF"/>
      <rgbColor rgb="FF33CCCC"/>
      <rgbColor rgb="FF99CC00"/>
      <rgbColor rgb="FFFFCC00"/>
      <rgbColor rgb="FFC9A227"/>
      <rgbColor rgb="FFFF6600"/>
      <rgbColor rgb="FF595959"/>
      <rgbColor rgb="FF8C8C8C"/>
      <rgbColor rgb="FF1F3864"/>
      <rgbColor rgb="FF339966"/>
      <rgbColor rgb="FF006100"/>
      <rgbColor rgb="FF333300"/>
      <rgbColor rgb="FF9C57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Audit Observation Closure %</a:t>
            </a:r>
          </a:p>
        </c:rich>
      </c:tx>
      <c:overlay val="0"/>
      <c:spPr>
        <a:noFill/>
        <a:ln w="0">
          <a:noFill/>
        </a:ln>
      </c:spPr>
    </c:title>
    <c:autoTitleDeleted val="0"/>
    <c:plotArea>
      <c:barChart>
        <c:barDir val="col"/>
        <c:grouping val="clustered"/>
        <c:varyColors val="0"/>
        <c:ser>
          <c:idx val="0"/>
          <c:order val="0"/>
          <c:tx>
            <c:strRef>
              <c:f>"Internal audit"</c:f>
              <c:strCache>
                <c:ptCount val="1"/>
                <c:pt idx="0">
                  <c:v>Internal audit</c:v>
                </c:pt>
              </c:strCache>
            </c:strRef>
          </c:tx>
          <c:spPr>
            <a:solidFill>
              <a:srgbClr val="1f386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'7. Summary &amp; Compliance'!$D$15:$G$15</c:f>
              <c:multiLvlStrCache>
                <c:ptCount val="1"/>
                <c:lvl>
                  <c:pt idx="0">
                    <c:v>-</c:v>
                  </c:pt>
                </c:lvl>
                <c:lvl>
                  <c:pt idx="0">
                    <c:v>-</c:v>
                  </c:pt>
                </c:lvl>
                <c:lvl>
                  <c:pt idx="0">
                    <c:v>-</c:v>
                  </c:pt>
                </c:lvl>
                <c:lvl>
                  <c:pt idx="0">
                    <c:v>-</c:v>
                  </c:pt>
                </c:lvl>
              </c:multiLvlStrCache>
            </c:multiLvlStrRef>
          </c:cat>
          <c:val>
            <c:numRef>
              <c:f>'7. Summary &amp; Compliance'!$D$19:$G$19</c:f>
              <c:numCache>
                <c:formatCode>General</c:formatCode>
                <c:ptCount val="4"/>
              </c:numCache>
            </c:numRef>
          </c:val>
        </c:ser>
        <c:ser>
          <c:idx val="1"/>
          <c:order val="1"/>
          <c:tx>
            <c:strRef>
              <c:f>"Statutory audit"</c:f>
              <c:strCache>
                <c:ptCount val="1"/>
                <c:pt idx="0">
                  <c:v>Statutory audit</c:v>
                </c:pt>
              </c:strCache>
            </c:strRef>
          </c:tx>
          <c:spPr>
            <a:solidFill>
              <a:srgbClr val="c9a227"/>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'7. Summary &amp; Compliance'!$D$15:$G$15</c:f>
              <c:multiLvlStrCache>
                <c:ptCount val="1"/>
                <c:lvl>
                  <c:pt idx="0">
                    <c:v>-</c:v>
                  </c:pt>
                </c:lvl>
                <c:lvl>
                  <c:pt idx="0">
                    <c:v>-</c:v>
                  </c:pt>
                </c:lvl>
                <c:lvl>
                  <c:pt idx="0">
                    <c:v>-</c:v>
                  </c:pt>
                </c:lvl>
                <c:lvl>
                  <c:pt idx="0">
                    <c:v>-</c:v>
                  </c:pt>
                </c:lvl>
              </c:multiLvlStrCache>
            </c:multiLvlStrRef>
          </c:cat>
          <c:val>
            <c:numRef>
              <c:f>'7. Summary &amp; Compliance'!$D$31:$G$31</c:f>
              <c:numCache>
                <c:formatCode>General</c:formatCode>
                <c:ptCount val="4"/>
              </c:numCache>
            </c:numRef>
          </c:val>
        </c:ser>
        <c:gapWidth val="150"/>
        <c:overlap val="0"/>
        <c:axId val="47853038"/>
        <c:axId val="7291152"/>
      </c:barChart>
      <c:catAx>
        <c:axId val="4785303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291152"/>
        <c:crosses val="autoZero"/>
        <c:auto val="1"/>
        <c:lblAlgn val="ctr"/>
        <c:lblOffset val="100"/>
        <c:noMultiLvlLbl val="0"/>
      </c:catAx>
      <c:valAx>
        <c:axId val="7291152"/>
        <c:scaling>
          <c:orientation val="minMax"/>
          <c:max val="1"/>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Closure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85303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50</xdr:row>
      <xdr:rowOff>0</xdr:rowOff>
    </xdr:from>
    <xdr:to>
      <xdr:col>6</xdr:col>
      <xdr:colOff>760680</xdr:colOff>
      <xdr:row>70</xdr:row>
      <xdr:rowOff>149400</xdr:rowOff>
    </xdr:to>
    <xdr:graphicFrame>
      <xdr:nvGraphicFramePr>
        <xdr:cNvPr id="0" name="Chart 1"/>
        <xdr:cNvGraphicFramePr/>
      </xdr:nvGraphicFramePr>
      <xdr:xfrm>
        <a:off x="846000" y="21954960"/>
        <a:ext cx="935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E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4" min="3" style="0" width="45"/>
    <col collapsed="false" customWidth="true" hidden="false" outlineLevel="0" max="5" min="5" style="0" width="40"/>
  </cols>
  <sheetData>
    <row r="2" customFormat="false" ht="52.5" hidden="false" customHeight="true" outlineLevel="0" collapsed="false">
      <c r="B2" s="1" t="s">
        <v>0</v>
      </c>
      <c r="C2" s="1"/>
      <c r="D2" s="1"/>
      <c r="E2" s="1"/>
    </row>
    <row r="3" customFormat="false" ht="33.75" hidden="false" customHeight="true" outlineLevel="0" collapsed="false">
      <c r="B3" s="2" t="s">
        <v>1</v>
      </c>
      <c r="C3" s="2"/>
      <c r="D3" s="2"/>
      <c r="E3" s="2"/>
    </row>
    <row r="5" customFormat="false" ht="30.75" hidden="false" customHeight="true" outlineLevel="0" collapsed="false">
      <c r="B5" s="3" t="s">
        <v>2</v>
      </c>
      <c r="C5" s="3"/>
      <c r="D5" s="3"/>
      <c r="E5" s="3"/>
    </row>
    <row r="6" customFormat="false" ht="36.75" hidden="false" customHeight="true" outlineLevel="0" collapsed="false">
      <c r="B6" s="4" t="s">
        <v>3</v>
      </c>
      <c r="C6" s="4"/>
      <c r="D6" s="4"/>
      <c r="E6" s="4"/>
    </row>
    <row r="7" customFormat="false" ht="30.75" hidden="false" customHeight="true" outlineLevel="0" collapsed="false">
      <c r="B7" s="5" t="s">
        <v>4</v>
      </c>
      <c r="C7" s="5"/>
      <c r="D7" s="5"/>
      <c r="E7" s="5"/>
    </row>
    <row r="8" customFormat="false" ht="27.75" hidden="false" customHeight="true" outlineLevel="0" collapsed="false">
      <c r="B8" s="6" t="s">
        <v>5</v>
      </c>
      <c r="C8" s="6"/>
      <c r="D8" s="6"/>
      <c r="E8" s="6"/>
    </row>
    <row r="10" customFormat="false" ht="30" hidden="false" customHeight="true" outlineLevel="0" collapsed="false">
      <c r="B10" s="7" t="s">
        <v>6</v>
      </c>
      <c r="C10" s="7"/>
      <c r="D10" s="7"/>
      <c r="E10" s="7"/>
    </row>
    <row r="11" customFormat="false" ht="210.75" hidden="false" customHeight="true" outlineLevel="0" collapsed="false">
      <c r="B11" s="8" t="s">
        <v>7</v>
      </c>
      <c r="C11" s="8"/>
      <c r="D11" s="8"/>
      <c r="E11" s="8"/>
    </row>
    <row r="13" customFormat="false" ht="30" hidden="false" customHeight="true" outlineLevel="0" collapsed="false">
      <c r="B13" s="7" t="s">
        <v>8</v>
      </c>
      <c r="C13" s="7"/>
      <c r="D13" s="7"/>
      <c r="E13" s="7"/>
    </row>
    <row r="14" customFormat="false" ht="393" hidden="false" customHeight="true" outlineLevel="0" collapsed="false">
      <c r="B14" s="8" t="s">
        <v>9</v>
      </c>
      <c r="C14" s="8"/>
      <c r="D14" s="8"/>
      <c r="E14" s="8"/>
    </row>
    <row r="16" customFormat="false" ht="30" hidden="false" customHeight="true" outlineLevel="0" collapsed="false">
      <c r="B16" s="7" t="s">
        <v>10</v>
      </c>
      <c r="C16" s="7"/>
      <c r="D16" s="7"/>
      <c r="E16" s="7"/>
    </row>
    <row r="17" customFormat="false" ht="109.5" hidden="false" customHeight="true" outlineLevel="0" collapsed="false">
      <c r="B17" s="8" t="s">
        <v>11</v>
      </c>
      <c r="C17" s="8"/>
      <c r="D17" s="8"/>
      <c r="E17" s="8"/>
    </row>
    <row r="19" customFormat="false" ht="30" hidden="false" customHeight="true" outlineLevel="0" collapsed="false">
      <c r="B19" s="7" t="s">
        <v>12</v>
      </c>
      <c r="C19" s="7"/>
      <c r="D19" s="7"/>
      <c r="E19" s="7"/>
    </row>
    <row r="20" customFormat="false" ht="27.75" hidden="false" customHeight="true" outlineLevel="0" collapsed="false">
      <c r="B20" s="9" t="s">
        <v>13</v>
      </c>
      <c r="C20" s="9" t="s">
        <v>14</v>
      </c>
      <c r="D20" s="9" t="s">
        <v>15</v>
      </c>
      <c r="E20" s="9" t="s">
        <v>16</v>
      </c>
    </row>
    <row r="21" customFormat="false" ht="48" hidden="false" customHeight="true" outlineLevel="0" collapsed="false">
      <c r="B21" s="10" t="s">
        <v>17</v>
      </c>
      <c r="C21" s="10" t="s">
        <v>18</v>
      </c>
      <c r="D21" s="10" t="s">
        <v>19</v>
      </c>
      <c r="E21" s="10" t="s">
        <v>20</v>
      </c>
    </row>
    <row r="22" customFormat="false" ht="68.25" hidden="false" customHeight="true" outlineLevel="0" collapsed="false">
      <c r="B22" s="11" t="s">
        <v>21</v>
      </c>
      <c r="C22" s="11" t="s">
        <v>22</v>
      </c>
      <c r="D22" s="11" t="s">
        <v>23</v>
      </c>
      <c r="E22" s="11" t="s">
        <v>24</v>
      </c>
    </row>
    <row r="23" customFormat="false" ht="68.25" hidden="false" customHeight="true" outlineLevel="0" collapsed="false">
      <c r="B23" s="10" t="s">
        <v>25</v>
      </c>
      <c r="C23" s="10" t="s">
        <v>26</v>
      </c>
      <c r="D23" s="10" t="s">
        <v>27</v>
      </c>
      <c r="E23" s="10" t="s">
        <v>28</v>
      </c>
    </row>
    <row r="24" customFormat="false" ht="68.25" hidden="false" customHeight="true" outlineLevel="0" collapsed="false">
      <c r="B24" s="11" t="s">
        <v>29</v>
      </c>
      <c r="C24" s="11" t="s">
        <v>30</v>
      </c>
      <c r="D24" s="11" t="s">
        <v>31</v>
      </c>
      <c r="E24" s="11" t="s">
        <v>28</v>
      </c>
    </row>
    <row r="25" customFormat="false" ht="48" hidden="false" customHeight="true" outlineLevel="0" collapsed="false">
      <c r="B25" s="10" t="s">
        <v>32</v>
      </c>
      <c r="C25" s="10" t="s">
        <v>33</v>
      </c>
      <c r="D25" s="10" t="s">
        <v>34</v>
      </c>
      <c r="E25" s="10" t="s">
        <v>35</v>
      </c>
    </row>
    <row r="26" customFormat="false" ht="48" hidden="false" customHeight="true" outlineLevel="0" collapsed="false">
      <c r="B26" s="11" t="s">
        <v>36</v>
      </c>
      <c r="C26" s="11" t="s">
        <v>37</v>
      </c>
      <c r="D26" s="11" t="s">
        <v>38</v>
      </c>
      <c r="E26" s="11" t="s">
        <v>39</v>
      </c>
    </row>
    <row r="27" customFormat="false" ht="48" hidden="false" customHeight="true" outlineLevel="0" collapsed="false">
      <c r="B27" s="10" t="s">
        <v>40</v>
      </c>
      <c r="C27" s="10" t="s">
        <v>41</v>
      </c>
      <c r="D27" s="10" t="s">
        <v>42</v>
      </c>
      <c r="E27" s="10" t="s">
        <v>43</v>
      </c>
    </row>
    <row r="28" customFormat="false" ht="30" hidden="false" customHeight="true" outlineLevel="0" collapsed="false">
      <c r="B28" s="11" t="s">
        <v>44</v>
      </c>
      <c r="C28" s="11" t="s">
        <v>45</v>
      </c>
      <c r="D28" s="11" t="s">
        <v>46</v>
      </c>
      <c r="E28" s="11" t="s">
        <v>47</v>
      </c>
    </row>
    <row r="29" customFormat="false" ht="48" hidden="false" customHeight="true" outlineLevel="0" collapsed="false">
      <c r="B29" s="10" t="s">
        <v>48</v>
      </c>
      <c r="C29" s="10" t="s">
        <v>49</v>
      </c>
      <c r="D29" s="10" t="s">
        <v>50</v>
      </c>
      <c r="E29" s="10" t="s">
        <v>51</v>
      </c>
    </row>
    <row r="30" customFormat="false" ht="48" hidden="false" customHeight="true" outlineLevel="0" collapsed="false">
      <c r="B30" s="11" t="s">
        <v>52</v>
      </c>
      <c r="C30" s="11" t="s">
        <v>53</v>
      </c>
      <c r="D30" s="11" t="s">
        <v>54</v>
      </c>
      <c r="E30" s="11" t="s">
        <v>55</v>
      </c>
    </row>
    <row r="32" customFormat="false" ht="30" hidden="false" customHeight="true" outlineLevel="0" collapsed="false">
      <c r="B32" s="7" t="s">
        <v>56</v>
      </c>
      <c r="C32" s="7"/>
      <c r="D32" s="7"/>
      <c r="E32" s="7"/>
    </row>
    <row r="33" customFormat="false" ht="27.75" hidden="false" customHeight="true" outlineLevel="0" collapsed="false">
      <c r="B33" s="12" t="s">
        <v>57</v>
      </c>
      <c r="C33" s="13" t="s">
        <v>58</v>
      </c>
      <c r="D33" s="13"/>
      <c r="E33" s="13"/>
    </row>
    <row r="34" customFormat="false" ht="27.75" hidden="false" customHeight="true" outlineLevel="0" collapsed="false">
      <c r="B34" s="14" t="s">
        <v>59</v>
      </c>
      <c r="C34" s="13" t="s">
        <v>60</v>
      </c>
      <c r="D34" s="13"/>
      <c r="E34" s="13"/>
    </row>
    <row r="35" customFormat="false" ht="27.75" hidden="false" customHeight="true" outlineLevel="0" collapsed="false">
      <c r="B35" s="15" t="s">
        <v>61</v>
      </c>
      <c r="C35" s="13" t="s">
        <v>62</v>
      </c>
      <c r="D35" s="13"/>
      <c r="E35" s="13"/>
    </row>
    <row r="36" customFormat="false" ht="27.75" hidden="false" customHeight="true" outlineLevel="0" collapsed="false">
      <c r="B36" s="16" t="s">
        <v>63</v>
      </c>
      <c r="C36" s="13" t="s">
        <v>64</v>
      </c>
      <c r="D36" s="13"/>
      <c r="E36" s="13"/>
    </row>
    <row r="38" customFormat="false" ht="42.75" hidden="false" customHeight="true" outlineLevel="0" collapsed="false">
      <c r="B38" s="17" t="s">
        <v>65</v>
      </c>
      <c r="C38" s="17"/>
      <c r="D38" s="17"/>
      <c r="E38" s="17"/>
    </row>
    <row r="39" customFormat="false" ht="42.75" hidden="false" customHeight="true" outlineLevel="0" collapsed="false">
      <c r="B39" s="18" t="s">
        <v>66</v>
      </c>
      <c r="C39" s="18"/>
      <c r="D39" s="18"/>
      <c r="E39" s="18"/>
    </row>
  </sheetData>
  <mergeCells count="20">
    <mergeCell ref="B2:E2"/>
    <mergeCell ref="B3:E3"/>
    <mergeCell ref="B5:E5"/>
    <mergeCell ref="B6:E6"/>
    <mergeCell ref="B7:E7"/>
    <mergeCell ref="B8:E8"/>
    <mergeCell ref="B10:E10"/>
    <mergeCell ref="B11:E11"/>
    <mergeCell ref="B13:E13"/>
    <mergeCell ref="B14:E14"/>
    <mergeCell ref="B16:E16"/>
    <mergeCell ref="B17:E17"/>
    <mergeCell ref="B19:E19"/>
    <mergeCell ref="B32:E32"/>
    <mergeCell ref="C33:E33"/>
    <mergeCell ref="C34:E34"/>
    <mergeCell ref="C35:E35"/>
    <mergeCell ref="C36:E36"/>
    <mergeCell ref="B38:E38"/>
    <mergeCell ref="B39:E3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E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
    <col collapsed="false" customWidth="true" hidden="false" outlineLevel="0" max="3" min="3" style="0" width="38"/>
    <col collapsed="false" customWidth="true" hidden="false" outlineLevel="0" max="4" min="4" style="0" width="55"/>
    <col collapsed="false" customWidth="true" hidden="false" outlineLevel="0" max="5" min="5" style="0" width="50"/>
  </cols>
  <sheetData>
    <row r="2" customFormat="false" ht="43.5" hidden="false" customHeight="true" outlineLevel="0" collapsed="false">
      <c r="B2" s="19" t="s">
        <v>67</v>
      </c>
      <c r="C2" s="19"/>
      <c r="D2" s="19"/>
      <c r="E2" s="19"/>
    </row>
    <row r="3" customFormat="false" ht="30" hidden="false" customHeight="true" outlineLevel="0" collapsed="false">
      <c r="B3" s="7" t="s">
        <v>68</v>
      </c>
      <c r="C3" s="7"/>
      <c r="D3" s="7"/>
      <c r="E3" s="7"/>
    </row>
    <row r="4" customFormat="false" ht="27.75" hidden="false" customHeight="true" outlineLevel="0" collapsed="false">
      <c r="B4" s="9" t="s">
        <v>69</v>
      </c>
      <c r="C4" s="9" t="s">
        <v>70</v>
      </c>
      <c r="D4" s="9" t="s">
        <v>71</v>
      </c>
      <c r="E4" s="9" t="s">
        <v>72</v>
      </c>
    </row>
    <row r="5" customFormat="false" ht="109.5" hidden="false" customHeight="true" outlineLevel="0" collapsed="false">
      <c r="B5" s="10" t="s">
        <v>73</v>
      </c>
      <c r="C5" s="10" t="s">
        <v>74</v>
      </c>
      <c r="D5" s="10" t="s">
        <v>75</v>
      </c>
      <c r="E5" s="10" t="s">
        <v>76</v>
      </c>
    </row>
    <row r="6" customFormat="false" ht="109.5" hidden="false" customHeight="true" outlineLevel="0" collapsed="false">
      <c r="B6" s="11" t="s">
        <v>77</v>
      </c>
      <c r="C6" s="11" t="s">
        <v>78</v>
      </c>
      <c r="D6" s="11" t="s">
        <v>79</v>
      </c>
      <c r="E6" s="11" t="s">
        <v>80</v>
      </c>
    </row>
    <row r="7" customFormat="false" ht="109.5" hidden="false" customHeight="true" outlineLevel="0" collapsed="false">
      <c r="B7" s="10" t="s">
        <v>81</v>
      </c>
      <c r="C7" s="10" t="s">
        <v>82</v>
      </c>
      <c r="D7" s="10" t="s">
        <v>83</v>
      </c>
      <c r="E7" s="10" t="s">
        <v>84</v>
      </c>
    </row>
    <row r="9" customFormat="false" ht="30" hidden="false" customHeight="true" outlineLevel="0" collapsed="false">
      <c r="B9" s="7" t="s">
        <v>85</v>
      </c>
      <c r="C9" s="7"/>
      <c r="D9" s="7"/>
      <c r="E9" s="7"/>
    </row>
    <row r="10" customFormat="false" ht="109.5" hidden="false" customHeight="true" outlineLevel="0" collapsed="false">
      <c r="B10" s="8" t="s">
        <v>86</v>
      </c>
      <c r="C10" s="8"/>
      <c r="D10" s="8"/>
      <c r="E10" s="8"/>
    </row>
    <row r="12" customFormat="false" ht="30" hidden="false" customHeight="true" outlineLevel="0" collapsed="false">
      <c r="B12" s="7" t="s">
        <v>87</v>
      </c>
      <c r="C12" s="7"/>
      <c r="D12" s="7"/>
      <c r="E12" s="7"/>
    </row>
    <row r="13" customFormat="false" ht="27.75" hidden="false" customHeight="true" outlineLevel="0" collapsed="false">
      <c r="B13" s="9" t="s">
        <v>69</v>
      </c>
      <c r="C13" s="9" t="s">
        <v>88</v>
      </c>
      <c r="D13" s="9" t="s">
        <v>89</v>
      </c>
      <c r="E13" s="9" t="s">
        <v>90</v>
      </c>
    </row>
    <row r="14" customFormat="false" ht="68.25" hidden="false" customHeight="true" outlineLevel="0" collapsed="false">
      <c r="B14" s="10" t="s">
        <v>73</v>
      </c>
      <c r="C14" s="10" t="s">
        <v>91</v>
      </c>
      <c r="D14" s="10" t="s">
        <v>92</v>
      </c>
      <c r="E14" s="10" t="s">
        <v>93</v>
      </c>
    </row>
    <row r="15" customFormat="false" ht="68.25" hidden="false" customHeight="true" outlineLevel="0" collapsed="false">
      <c r="B15" s="11" t="s">
        <v>77</v>
      </c>
      <c r="C15" s="11" t="s">
        <v>94</v>
      </c>
      <c r="D15" s="11" t="s">
        <v>95</v>
      </c>
      <c r="E15" s="11" t="s">
        <v>96</v>
      </c>
    </row>
    <row r="16" customFormat="false" ht="88.5" hidden="false" customHeight="true" outlineLevel="0" collapsed="false">
      <c r="B16" s="10" t="s">
        <v>81</v>
      </c>
      <c r="C16" s="10" t="s">
        <v>97</v>
      </c>
      <c r="D16" s="10" t="s">
        <v>95</v>
      </c>
      <c r="E16" s="10" t="s">
        <v>98</v>
      </c>
    </row>
    <row r="18" customFormat="false" ht="30" hidden="false" customHeight="true" outlineLevel="0" collapsed="false">
      <c r="B18" s="7" t="s">
        <v>99</v>
      </c>
      <c r="C18" s="7"/>
      <c r="D18" s="7"/>
      <c r="E18" s="7"/>
    </row>
    <row r="19" customFormat="false" ht="27.75" hidden="false" customHeight="true" outlineLevel="0" collapsed="false">
      <c r="B19" s="9" t="s">
        <v>100</v>
      </c>
      <c r="C19" s="9" t="s">
        <v>101</v>
      </c>
      <c r="D19" s="9" t="s">
        <v>102</v>
      </c>
      <c r="E19" s="9" t="s">
        <v>103</v>
      </c>
    </row>
    <row r="20" customFormat="false" ht="88.5" hidden="false" customHeight="true" outlineLevel="0" collapsed="false">
      <c r="B20" s="10" t="s">
        <v>104</v>
      </c>
      <c r="C20" s="10" t="s">
        <v>105</v>
      </c>
      <c r="D20" s="10" t="s">
        <v>106</v>
      </c>
      <c r="E20" s="10" t="s">
        <v>27</v>
      </c>
    </row>
    <row r="21" customFormat="false" ht="48" hidden="false" customHeight="true" outlineLevel="0" collapsed="false">
      <c r="B21" s="11" t="s">
        <v>107</v>
      </c>
      <c r="C21" s="11" t="s">
        <v>108</v>
      </c>
      <c r="D21" s="11" t="s">
        <v>109</v>
      </c>
      <c r="E21" s="11" t="s">
        <v>110</v>
      </c>
    </row>
    <row r="22" customFormat="false" ht="68.25" hidden="false" customHeight="true" outlineLevel="0" collapsed="false">
      <c r="B22" s="10" t="s">
        <v>111</v>
      </c>
      <c r="C22" s="10" t="s">
        <v>112</v>
      </c>
      <c r="D22" s="10" t="s">
        <v>113</v>
      </c>
      <c r="E22" s="10" t="s">
        <v>31</v>
      </c>
    </row>
    <row r="23" customFormat="false" ht="48" hidden="false" customHeight="true" outlineLevel="0" collapsed="false">
      <c r="B23" s="11" t="s">
        <v>114</v>
      </c>
      <c r="C23" s="11" t="s">
        <v>115</v>
      </c>
      <c r="D23" s="11" t="s">
        <v>116</v>
      </c>
      <c r="E23" s="11" t="s">
        <v>31</v>
      </c>
    </row>
    <row r="24" customFormat="false" ht="48" hidden="false" customHeight="true" outlineLevel="0" collapsed="false">
      <c r="B24" s="10" t="s">
        <v>117</v>
      </c>
      <c r="C24" s="10" t="s">
        <v>118</v>
      </c>
      <c r="D24" s="10" t="s">
        <v>119</v>
      </c>
      <c r="E24" s="10" t="s">
        <v>34</v>
      </c>
    </row>
    <row r="25" customFormat="false" ht="48" hidden="false" customHeight="true" outlineLevel="0" collapsed="false">
      <c r="B25" s="11" t="s">
        <v>120</v>
      </c>
      <c r="C25" s="11" t="s">
        <v>121</v>
      </c>
      <c r="D25" s="11" t="s">
        <v>122</v>
      </c>
      <c r="E25" s="11" t="s">
        <v>38</v>
      </c>
    </row>
    <row r="26" customFormat="false" ht="48" hidden="false" customHeight="true" outlineLevel="0" collapsed="false">
      <c r="B26" s="10" t="s">
        <v>123</v>
      </c>
      <c r="C26" s="10" t="s">
        <v>124</v>
      </c>
      <c r="D26" s="10" t="s">
        <v>125</v>
      </c>
      <c r="E26" s="10" t="s">
        <v>126</v>
      </c>
    </row>
    <row r="27" customFormat="false" ht="48" hidden="false" customHeight="true" outlineLevel="0" collapsed="false">
      <c r="B27" s="11" t="s">
        <v>127</v>
      </c>
      <c r="C27" s="11" t="s">
        <v>128</v>
      </c>
      <c r="D27" s="11" t="s">
        <v>129</v>
      </c>
      <c r="E27" s="11" t="s">
        <v>130</v>
      </c>
    </row>
    <row r="28" customFormat="false" ht="68.25" hidden="false" customHeight="true" outlineLevel="0" collapsed="false">
      <c r="B28" s="10" t="s">
        <v>131</v>
      </c>
      <c r="C28" s="10" t="s">
        <v>132</v>
      </c>
      <c r="D28" s="10" t="s">
        <v>133</v>
      </c>
      <c r="E28" s="10" t="s">
        <v>134</v>
      </c>
    </row>
    <row r="30" customFormat="false" ht="30" hidden="false" customHeight="true" outlineLevel="0" collapsed="false">
      <c r="B30" s="7" t="s">
        <v>135</v>
      </c>
      <c r="C30" s="7"/>
      <c r="D30" s="7"/>
      <c r="E30" s="7"/>
    </row>
    <row r="31" customFormat="false" ht="27.75" hidden="false" customHeight="true" outlineLevel="0" collapsed="false">
      <c r="B31" s="9" t="s">
        <v>136</v>
      </c>
      <c r="C31" s="9" t="s">
        <v>137</v>
      </c>
      <c r="D31" s="9" t="s">
        <v>138</v>
      </c>
      <c r="E31" s="9" t="s">
        <v>139</v>
      </c>
    </row>
    <row r="32" customFormat="false" ht="48" hidden="false" customHeight="true" outlineLevel="0" collapsed="false">
      <c r="B32" s="10" t="s">
        <v>104</v>
      </c>
      <c r="C32" s="10" t="s">
        <v>140</v>
      </c>
      <c r="D32" s="10" t="s">
        <v>141</v>
      </c>
      <c r="E32" s="10" t="s">
        <v>142</v>
      </c>
    </row>
    <row r="33" customFormat="false" ht="30" hidden="false" customHeight="true" outlineLevel="0" collapsed="false">
      <c r="B33" s="11" t="s">
        <v>107</v>
      </c>
      <c r="C33" s="11" t="s">
        <v>143</v>
      </c>
      <c r="D33" s="11" t="s">
        <v>144</v>
      </c>
      <c r="E33" s="11" t="s">
        <v>145</v>
      </c>
    </row>
    <row r="34" customFormat="false" ht="48" hidden="false" customHeight="true" outlineLevel="0" collapsed="false">
      <c r="B34" s="10" t="s">
        <v>111</v>
      </c>
      <c r="C34" s="10" t="s">
        <v>146</v>
      </c>
      <c r="D34" s="10" t="s">
        <v>147</v>
      </c>
      <c r="E34" s="10" t="s">
        <v>148</v>
      </c>
    </row>
    <row r="35" customFormat="false" ht="48" hidden="false" customHeight="true" outlineLevel="0" collapsed="false">
      <c r="B35" s="11" t="s">
        <v>114</v>
      </c>
      <c r="C35" s="11" t="s">
        <v>149</v>
      </c>
      <c r="D35" s="11" t="s">
        <v>141</v>
      </c>
      <c r="E35" s="11" t="s">
        <v>150</v>
      </c>
    </row>
    <row r="36" customFormat="false" ht="48" hidden="false" customHeight="true" outlineLevel="0" collapsed="false">
      <c r="B36" s="10" t="s">
        <v>117</v>
      </c>
      <c r="C36" s="10" t="s">
        <v>151</v>
      </c>
      <c r="D36" s="10" t="s">
        <v>152</v>
      </c>
      <c r="E36" s="10" t="s">
        <v>153</v>
      </c>
    </row>
    <row r="37" customFormat="false" ht="30" hidden="false" customHeight="true" outlineLevel="0" collapsed="false">
      <c r="B37" s="11" t="s">
        <v>120</v>
      </c>
      <c r="C37" s="11" t="s">
        <v>154</v>
      </c>
      <c r="D37" s="11" t="s">
        <v>155</v>
      </c>
      <c r="E37" s="11" t="s">
        <v>156</v>
      </c>
    </row>
    <row r="38" customFormat="false" ht="30" hidden="false" customHeight="true" outlineLevel="0" collapsed="false">
      <c r="B38" s="10" t="s">
        <v>123</v>
      </c>
      <c r="C38" s="10" t="s">
        <v>157</v>
      </c>
      <c r="D38" s="10" t="s">
        <v>158</v>
      </c>
      <c r="E38" s="10" t="s">
        <v>159</v>
      </c>
    </row>
    <row r="40" customFormat="false" ht="30" hidden="false" customHeight="true" outlineLevel="0" collapsed="false">
      <c r="B40" s="7" t="s">
        <v>160</v>
      </c>
      <c r="C40" s="7"/>
      <c r="D40" s="7"/>
      <c r="E40" s="7"/>
    </row>
    <row r="41" customFormat="false" ht="129.75" hidden="false" customHeight="true" outlineLevel="0" collapsed="false">
      <c r="B41" s="8" t="s">
        <v>161</v>
      </c>
      <c r="C41" s="8"/>
      <c r="D41" s="8"/>
      <c r="E41" s="8"/>
    </row>
    <row r="43" customFormat="false" ht="30" hidden="false" customHeight="true" outlineLevel="0" collapsed="false">
      <c r="B43" s="7" t="s">
        <v>162</v>
      </c>
      <c r="C43" s="7"/>
      <c r="D43" s="7"/>
      <c r="E43" s="7"/>
    </row>
    <row r="44" customFormat="false" ht="27.75" hidden="false" customHeight="true" outlineLevel="0" collapsed="false">
      <c r="B44" s="9" t="s">
        <v>136</v>
      </c>
      <c r="C44" s="9" t="s">
        <v>163</v>
      </c>
      <c r="D44" s="9" t="s">
        <v>164</v>
      </c>
      <c r="E44" s="9" t="s">
        <v>165</v>
      </c>
    </row>
    <row r="45" customFormat="false" ht="68.25" hidden="false" customHeight="true" outlineLevel="0" collapsed="false">
      <c r="B45" s="10" t="s">
        <v>104</v>
      </c>
      <c r="C45" s="10" t="s">
        <v>166</v>
      </c>
      <c r="D45" s="10" t="s">
        <v>167</v>
      </c>
      <c r="E45" s="10" t="s">
        <v>168</v>
      </c>
    </row>
    <row r="46" customFormat="false" ht="48" hidden="false" customHeight="true" outlineLevel="0" collapsed="false">
      <c r="B46" s="11" t="s">
        <v>107</v>
      </c>
      <c r="C46" s="11" t="s">
        <v>169</v>
      </c>
      <c r="D46" s="11" t="s">
        <v>170</v>
      </c>
      <c r="E46" s="11" t="s">
        <v>171</v>
      </c>
    </row>
    <row r="47" customFormat="false" ht="48" hidden="false" customHeight="true" outlineLevel="0" collapsed="false">
      <c r="B47" s="10" t="s">
        <v>111</v>
      </c>
      <c r="C47" s="10" t="s">
        <v>172</v>
      </c>
      <c r="D47" s="10" t="s">
        <v>173</v>
      </c>
      <c r="E47" s="10" t="s">
        <v>174</v>
      </c>
    </row>
    <row r="48" customFormat="false" ht="48" hidden="false" customHeight="true" outlineLevel="0" collapsed="false">
      <c r="B48" s="11" t="s">
        <v>114</v>
      </c>
      <c r="C48" s="11" t="s">
        <v>175</v>
      </c>
      <c r="D48" s="11" t="s">
        <v>176</v>
      </c>
      <c r="E48" s="11" t="s">
        <v>177</v>
      </c>
    </row>
    <row r="49" customFormat="false" ht="48" hidden="false" customHeight="true" outlineLevel="0" collapsed="false">
      <c r="B49" s="10" t="s">
        <v>117</v>
      </c>
      <c r="C49" s="10" t="s">
        <v>178</v>
      </c>
      <c r="D49" s="10" t="s">
        <v>179</v>
      </c>
      <c r="E49" s="10" t="s">
        <v>180</v>
      </c>
    </row>
    <row r="50" customFormat="false" ht="48" hidden="false" customHeight="true" outlineLevel="0" collapsed="false">
      <c r="B50" s="11" t="s">
        <v>120</v>
      </c>
      <c r="C50" s="11" t="s">
        <v>181</v>
      </c>
      <c r="D50" s="11" t="s">
        <v>182</v>
      </c>
      <c r="E50" s="11" t="s">
        <v>183</v>
      </c>
    </row>
  </sheetData>
  <mergeCells count="10">
    <mergeCell ref="B2:E2"/>
    <mergeCell ref="B3:E3"/>
    <mergeCell ref="B9:E9"/>
    <mergeCell ref="B10:E10"/>
    <mergeCell ref="B12:E12"/>
    <mergeCell ref="B18:E18"/>
    <mergeCell ref="B30:E30"/>
    <mergeCell ref="B40:E40"/>
    <mergeCell ref="B41:E41"/>
    <mergeCell ref="B43:E4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J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9"/>
    <col collapsed="false" customWidth="true" hidden="false" outlineLevel="0" max="3" min="3" style="0" width="58"/>
    <col collapsed="false" customWidth="true" hidden="false" outlineLevel="0" max="7" min="4" style="0" width="20"/>
    <col collapsed="false" customWidth="true" hidden="false" outlineLevel="0" max="8" min="8" style="0" width="18"/>
    <col collapsed="false" customWidth="true" hidden="false" outlineLevel="0" max="10" min="9" style="0" width="30"/>
  </cols>
  <sheetData>
    <row r="2" customFormat="false" ht="43.5" hidden="false" customHeight="true" outlineLevel="0" collapsed="false">
      <c r="B2" s="19" t="s">
        <v>184</v>
      </c>
      <c r="C2" s="19"/>
      <c r="D2" s="19"/>
      <c r="E2" s="19"/>
      <c r="F2" s="19"/>
      <c r="G2" s="19"/>
      <c r="H2" s="19"/>
      <c r="I2" s="19"/>
      <c r="J2" s="19"/>
    </row>
    <row r="3" customFormat="false" ht="48" hidden="false" customHeight="true" outlineLevel="0" collapsed="false">
      <c r="B3" s="20" t="s">
        <v>185</v>
      </c>
      <c r="C3" s="20"/>
      <c r="D3" s="20"/>
      <c r="E3" s="20"/>
      <c r="F3" s="20"/>
      <c r="G3" s="20"/>
      <c r="H3" s="20"/>
      <c r="I3" s="20"/>
      <c r="J3" s="20"/>
    </row>
    <row r="5" customFormat="false" ht="49.5" hidden="false" customHeight="true" outlineLevel="0" collapsed="false">
      <c r="B5" s="9" t="s">
        <v>186</v>
      </c>
      <c r="C5" s="9" t="s">
        <v>187</v>
      </c>
      <c r="D5" s="9" t="s">
        <v>188</v>
      </c>
      <c r="E5" s="9" t="s">
        <v>189</v>
      </c>
      <c r="F5" s="9" t="s">
        <v>190</v>
      </c>
      <c r="G5" s="9" t="s">
        <v>191</v>
      </c>
      <c r="H5" s="9" t="s">
        <v>192</v>
      </c>
      <c r="I5" s="9" t="s">
        <v>193</v>
      </c>
      <c r="J5" s="9" t="s">
        <v>194</v>
      </c>
    </row>
    <row r="6" customFormat="false" ht="30" hidden="false" customHeight="true" outlineLevel="0" collapsed="false">
      <c r="B6" s="21" t="s">
        <v>195</v>
      </c>
      <c r="C6" s="22" t="s">
        <v>196</v>
      </c>
      <c r="D6" s="23"/>
      <c r="E6" s="23"/>
      <c r="F6" s="23"/>
      <c r="G6" s="23"/>
      <c r="H6" s="23"/>
      <c r="I6" s="23"/>
      <c r="J6" s="23"/>
    </row>
    <row r="7" customFormat="false" ht="30" hidden="false" customHeight="true" outlineLevel="0" collapsed="false">
      <c r="B7" s="24" t="s">
        <v>197</v>
      </c>
      <c r="C7" s="10" t="s">
        <v>198</v>
      </c>
      <c r="D7" s="25"/>
      <c r="E7" s="25"/>
      <c r="F7" s="25"/>
      <c r="G7" s="25"/>
      <c r="H7" s="26"/>
      <c r="I7" s="27"/>
      <c r="J7" s="27"/>
    </row>
    <row r="8" customFormat="false" ht="48" hidden="false" customHeight="true" outlineLevel="0" collapsed="false">
      <c r="B8" s="24" t="s">
        <v>199</v>
      </c>
      <c r="C8" s="10" t="s">
        <v>200</v>
      </c>
      <c r="D8" s="28"/>
      <c r="E8" s="28"/>
      <c r="F8" s="28"/>
      <c r="G8" s="28"/>
      <c r="H8" s="26"/>
      <c r="I8" s="27"/>
      <c r="J8" s="27"/>
    </row>
    <row r="9" customFormat="false" ht="30" hidden="false" customHeight="true" outlineLevel="0" collapsed="false">
      <c r="B9" s="24" t="s">
        <v>201</v>
      </c>
      <c r="C9" s="10" t="s">
        <v>202</v>
      </c>
      <c r="D9" s="29"/>
      <c r="E9" s="29"/>
      <c r="F9" s="29"/>
      <c r="G9" s="29"/>
      <c r="H9" s="26"/>
      <c r="I9" s="27"/>
      <c r="J9" s="27"/>
    </row>
    <row r="10" customFormat="false" ht="30" hidden="false" customHeight="true" outlineLevel="0" collapsed="false">
      <c r="B10" s="24" t="s">
        <v>203</v>
      </c>
      <c r="C10" s="10" t="s">
        <v>204</v>
      </c>
      <c r="D10" s="25"/>
      <c r="E10" s="25"/>
      <c r="F10" s="25"/>
      <c r="G10" s="25"/>
      <c r="H10" s="26"/>
      <c r="I10" s="27"/>
      <c r="J10" s="27"/>
    </row>
    <row r="11" customFormat="false" ht="30" hidden="false" customHeight="true" outlineLevel="0" collapsed="false">
      <c r="B11" s="21" t="s">
        <v>205</v>
      </c>
      <c r="C11" s="22" t="s">
        <v>206</v>
      </c>
      <c r="D11" s="23"/>
      <c r="E11" s="23"/>
      <c r="F11" s="23"/>
      <c r="G11" s="23"/>
      <c r="H11" s="23"/>
      <c r="I11" s="23"/>
      <c r="J11" s="23"/>
    </row>
    <row r="12" customFormat="false" ht="48" hidden="false" customHeight="true" outlineLevel="0" collapsed="false">
      <c r="B12" s="24" t="s">
        <v>207</v>
      </c>
      <c r="C12" s="10" t="s">
        <v>208</v>
      </c>
      <c r="D12" s="30"/>
      <c r="E12" s="30"/>
      <c r="F12" s="30"/>
      <c r="G12" s="30"/>
      <c r="H12" s="31" t="n">
        <f aca="false">SUM(D12:F12)</f>
        <v>0</v>
      </c>
      <c r="I12" s="27"/>
      <c r="J12" s="27"/>
    </row>
    <row r="13" customFormat="false" ht="30" hidden="false" customHeight="true" outlineLevel="0" collapsed="false">
      <c r="B13" s="24" t="s">
        <v>209</v>
      </c>
      <c r="C13" s="10" t="s">
        <v>210</v>
      </c>
      <c r="D13" s="30"/>
      <c r="E13" s="30"/>
      <c r="F13" s="30"/>
      <c r="G13" s="30"/>
      <c r="H13" s="31" t="n">
        <f aca="false">SUM(D13:F13)</f>
        <v>0</v>
      </c>
      <c r="I13" s="27"/>
      <c r="J13" s="27"/>
    </row>
    <row r="14" customFormat="false" ht="30" hidden="false" customHeight="true" outlineLevel="0" collapsed="false">
      <c r="B14" s="24" t="s">
        <v>211</v>
      </c>
      <c r="C14" s="10" t="s">
        <v>212</v>
      </c>
      <c r="D14" s="30"/>
      <c r="E14" s="30"/>
      <c r="F14" s="30"/>
      <c r="G14" s="30"/>
      <c r="H14" s="31" t="n">
        <f aca="false">SUM(D14:F14)</f>
        <v>0</v>
      </c>
      <c r="I14" s="27"/>
      <c r="J14" s="27"/>
    </row>
    <row r="15" customFormat="false" ht="30" hidden="false" customHeight="true" outlineLevel="0" collapsed="false">
      <c r="B15" s="24" t="s">
        <v>213</v>
      </c>
      <c r="C15" s="32" t="s">
        <v>214</v>
      </c>
      <c r="D15" s="33" t="n">
        <f aca="false">N(D13)-N(D14)</f>
        <v>0</v>
      </c>
      <c r="E15" s="33" t="n">
        <f aca="false">N(E13)-N(E14)</f>
        <v>0</v>
      </c>
      <c r="F15" s="33" t="n">
        <f aca="false">N(F13)-N(F14)</f>
        <v>0</v>
      </c>
      <c r="G15" s="33" t="n">
        <f aca="false">N(G13)-N(G14)</f>
        <v>0</v>
      </c>
      <c r="H15" s="33" t="n">
        <f aca="false">N(H13)-N(H14)</f>
        <v>0</v>
      </c>
      <c r="I15" s="26"/>
      <c r="J15" s="26"/>
    </row>
    <row r="16" customFormat="false" ht="30" hidden="false" customHeight="true" outlineLevel="0" collapsed="false">
      <c r="B16" s="24" t="s">
        <v>215</v>
      </c>
      <c r="C16" s="32" t="s">
        <v>216</v>
      </c>
      <c r="D16" s="34" t="str">
        <f aca="false">IF(N(D13)=0,"-",D14/D13)</f>
        <v>-</v>
      </c>
      <c r="E16" s="34" t="str">
        <f aca="false">IF(N(E13)=0,"-",E14/E13)</f>
        <v>-</v>
      </c>
      <c r="F16" s="34" t="str">
        <f aca="false">IF(N(F13)=0,"-",F14/F13)</f>
        <v>-</v>
      </c>
      <c r="G16" s="34" t="str">
        <f aca="false">IF(N(G13)=0,"-",G14/G13)</f>
        <v>-</v>
      </c>
      <c r="H16" s="34" t="str">
        <f aca="false">IF(N(H13)=0,"-",H14/H13)</f>
        <v>-</v>
      </c>
      <c r="I16" s="26"/>
      <c r="J16" s="26"/>
    </row>
    <row r="17" customFormat="false" ht="48" hidden="false" customHeight="true" outlineLevel="0" collapsed="false">
      <c r="B17" s="24" t="s">
        <v>217</v>
      </c>
      <c r="C17" s="10" t="s">
        <v>218</v>
      </c>
      <c r="D17" s="25"/>
      <c r="E17" s="25"/>
      <c r="F17" s="25"/>
      <c r="G17" s="25"/>
      <c r="H17" s="26"/>
      <c r="I17" s="27"/>
      <c r="J17" s="27"/>
    </row>
    <row r="18" customFormat="false" ht="48" hidden="false" customHeight="true" outlineLevel="0" collapsed="false">
      <c r="B18" s="24" t="s">
        <v>219</v>
      </c>
      <c r="C18" s="10" t="s">
        <v>220</v>
      </c>
      <c r="D18" s="29"/>
      <c r="E18" s="29"/>
      <c r="F18" s="29"/>
      <c r="G18" s="29"/>
      <c r="H18" s="26"/>
      <c r="I18" s="27"/>
      <c r="J18" s="27"/>
    </row>
    <row r="20" customFormat="false" ht="30" hidden="false" customHeight="true" outlineLevel="0" collapsed="false">
      <c r="B20" s="21" t="s">
        <v>221</v>
      </c>
      <c r="C20" s="22" t="s">
        <v>222</v>
      </c>
      <c r="D20" s="23"/>
      <c r="E20" s="23"/>
      <c r="F20" s="23"/>
      <c r="G20" s="23"/>
      <c r="H20" s="23"/>
      <c r="I20" s="23"/>
      <c r="J20" s="23"/>
    </row>
    <row r="21" customFormat="false" ht="30" hidden="false" customHeight="true" outlineLevel="0" collapsed="false">
      <c r="B21" s="24" t="s">
        <v>223</v>
      </c>
      <c r="C21" s="10" t="s">
        <v>224</v>
      </c>
      <c r="D21" s="25"/>
      <c r="E21" s="25"/>
      <c r="F21" s="25"/>
      <c r="G21" s="25"/>
      <c r="H21" s="26"/>
      <c r="I21" s="27"/>
      <c r="J21" s="27"/>
    </row>
    <row r="22" customFormat="false" ht="30" hidden="false" customHeight="true" outlineLevel="0" collapsed="false">
      <c r="B22" s="24" t="s">
        <v>225</v>
      </c>
      <c r="C22" s="10" t="s">
        <v>226</v>
      </c>
      <c r="D22" s="25"/>
      <c r="E22" s="25"/>
      <c r="F22" s="25"/>
      <c r="G22" s="25"/>
      <c r="H22" s="26"/>
      <c r="I22" s="27"/>
      <c r="J22" s="27"/>
    </row>
    <row r="23" customFormat="false" ht="30" hidden="false" customHeight="true" outlineLevel="0" collapsed="false">
      <c r="B23" s="24" t="s">
        <v>227</v>
      </c>
      <c r="C23" s="10" t="s">
        <v>228</v>
      </c>
      <c r="D23" s="25"/>
      <c r="E23" s="25"/>
      <c r="F23" s="25"/>
      <c r="G23" s="25"/>
      <c r="H23" s="26"/>
      <c r="I23" s="27"/>
      <c r="J23" s="27"/>
    </row>
    <row r="24" customFormat="false" ht="30" hidden="false" customHeight="true" outlineLevel="0" collapsed="false">
      <c r="B24" s="24" t="s">
        <v>229</v>
      </c>
      <c r="C24" s="10" t="s">
        <v>230</v>
      </c>
      <c r="D24" s="25"/>
      <c r="E24" s="25"/>
      <c r="F24" s="25"/>
      <c r="G24" s="25"/>
      <c r="H24" s="26"/>
      <c r="I24" s="27"/>
      <c r="J24" s="27"/>
    </row>
    <row r="25" customFormat="false" ht="30" hidden="false" customHeight="true" outlineLevel="0" collapsed="false">
      <c r="B25" s="24" t="s">
        <v>231</v>
      </c>
      <c r="C25" s="10" t="s">
        <v>232</v>
      </c>
      <c r="D25" s="25"/>
      <c r="E25" s="25"/>
      <c r="F25" s="25"/>
      <c r="G25" s="25"/>
      <c r="H25" s="26"/>
      <c r="I25" s="27"/>
      <c r="J25" s="27"/>
    </row>
    <row r="26" customFormat="false" ht="30" hidden="false" customHeight="true" outlineLevel="0" collapsed="false">
      <c r="B26" s="24" t="s">
        <v>233</v>
      </c>
      <c r="C26" s="10" t="s">
        <v>234</v>
      </c>
      <c r="D26" s="25"/>
      <c r="E26" s="25"/>
      <c r="F26" s="25"/>
      <c r="G26" s="25"/>
      <c r="H26" s="26"/>
      <c r="I26" s="27"/>
      <c r="J26" s="27"/>
    </row>
    <row r="27" customFormat="false" ht="30" hidden="false" customHeight="true" outlineLevel="0" collapsed="false">
      <c r="B27" s="24" t="s">
        <v>235</v>
      </c>
      <c r="C27" s="10" t="s">
        <v>236</v>
      </c>
      <c r="D27" s="25"/>
      <c r="E27" s="25"/>
      <c r="F27" s="25"/>
      <c r="G27" s="25"/>
      <c r="H27" s="26"/>
      <c r="I27" s="27"/>
      <c r="J27" s="27"/>
    </row>
    <row r="28" customFormat="false" ht="30" hidden="false" customHeight="true" outlineLevel="0" collapsed="false">
      <c r="B28" s="24" t="s">
        <v>237</v>
      </c>
      <c r="C28" s="10" t="s">
        <v>238</v>
      </c>
      <c r="D28" s="25"/>
      <c r="E28" s="25"/>
      <c r="F28" s="25"/>
      <c r="G28" s="25"/>
      <c r="H28" s="26"/>
      <c r="I28" s="27"/>
      <c r="J28" s="27"/>
    </row>
    <row r="29" customFormat="false" ht="30" hidden="false" customHeight="true" outlineLevel="0" collapsed="false">
      <c r="B29" s="24" t="s">
        <v>239</v>
      </c>
      <c r="C29" s="10" t="s">
        <v>240</v>
      </c>
      <c r="D29" s="25"/>
      <c r="E29" s="25"/>
      <c r="F29" s="25"/>
      <c r="G29" s="25"/>
      <c r="H29" s="26"/>
      <c r="I29" s="27"/>
      <c r="J29" s="27"/>
    </row>
    <row r="30" customFormat="false" ht="30" hidden="false" customHeight="true" outlineLevel="0" collapsed="false">
      <c r="B30" s="24" t="s">
        <v>241</v>
      </c>
      <c r="C30" s="10" t="s">
        <v>242</v>
      </c>
      <c r="D30" s="25"/>
      <c r="E30" s="25"/>
      <c r="F30" s="25"/>
      <c r="G30" s="25"/>
      <c r="H30" s="26"/>
      <c r="I30" s="27"/>
      <c r="J30" s="27"/>
    </row>
    <row r="31" customFormat="false" ht="30" hidden="false" customHeight="true" outlineLevel="0" collapsed="false">
      <c r="B31" s="24" t="s">
        <v>243</v>
      </c>
      <c r="C31" s="10" t="s">
        <v>244</v>
      </c>
      <c r="D31" s="25"/>
      <c r="E31" s="25"/>
      <c r="F31" s="25"/>
      <c r="G31" s="25"/>
      <c r="H31" s="26"/>
      <c r="I31" s="27"/>
      <c r="J31" s="27"/>
    </row>
    <row r="32" customFormat="false" ht="30" hidden="false" customHeight="true" outlineLevel="0" collapsed="false">
      <c r="B32" s="24" t="s">
        <v>245</v>
      </c>
      <c r="C32" s="10" t="s">
        <v>246</v>
      </c>
      <c r="D32" s="25"/>
      <c r="E32" s="25"/>
      <c r="F32" s="25"/>
      <c r="G32" s="25"/>
      <c r="H32" s="26"/>
      <c r="I32" s="27"/>
      <c r="J32" s="27"/>
    </row>
    <row r="33" customFormat="false" ht="30" hidden="false" customHeight="true" outlineLevel="0" collapsed="false">
      <c r="B33" s="24" t="s">
        <v>221</v>
      </c>
      <c r="C33" s="32" t="s">
        <v>247</v>
      </c>
      <c r="D33" s="33" t="n">
        <f aca="false">COUNTIF(D21:D32,"Yes")</f>
        <v>0</v>
      </c>
      <c r="E33" s="33" t="n">
        <f aca="false">COUNTIF(E21:E32,"Yes")</f>
        <v>0</v>
      </c>
      <c r="F33" s="33" t="n">
        <f aca="false">COUNTIF(F21:F32,"Yes")</f>
        <v>0</v>
      </c>
      <c r="G33" s="33" t="n">
        <f aca="false">COUNTIF(G21:G32,"Yes")</f>
        <v>0</v>
      </c>
      <c r="H33" s="26"/>
      <c r="I33" s="26"/>
      <c r="J33" s="26"/>
    </row>
    <row r="34" customFormat="false" ht="30" hidden="false" customHeight="true" outlineLevel="0" collapsed="false">
      <c r="B34" s="24" t="s">
        <v>248</v>
      </c>
      <c r="C34" s="32" t="s">
        <v>249</v>
      </c>
      <c r="D34" s="34" t="n">
        <f aca="false">D33/12</f>
        <v>0</v>
      </c>
      <c r="E34" s="34" t="n">
        <f aca="false">E33/12</f>
        <v>0</v>
      </c>
      <c r="F34" s="34" t="n">
        <f aca="false">F33/12</f>
        <v>0</v>
      </c>
      <c r="G34" s="34" t="n">
        <f aca="false">G33/12</f>
        <v>0</v>
      </c>
      <c r="H34" s="26"/>
      <c r="I34" s="26"/>
      <c r="J34" s="26"/>
    </row>
    <row r="36" customFormat="false" ht="45" hidden="false" customHeight="true" outlineLevel="0" collapsed="false">
      <c r="B36" s="35" t="s">
        <v>250</v>
      </c>
      <c r="C36" s="35"/>
      <c r="D36" s="35"/>
      <c r="E36" s="35"/>
      <c r="F36" s="35"/>
      <c r="G36" s="35"/>
      <c r="H36" s="35"/>
      <c r="I36" s="35"/>
      <c r="J36" s="35"/>
    </row>
  </sheetData>
  <mergeCells count="3">
    <mergeCell ref="B2:J2"/>
    <mergeCell ref="B3:J3"/>
    <mergeCell ref="B36:J36"/>
  </mergeCells>
  <conditionalFormatting sqref="D21:G32">
    <cfRule type="cellIs" priority="2" operator="equal" aboveAverage="0" equalAverage="0" bottom="0" percent="0" rank="0" text="" dxfId="0">
      <formula>"Yes"</formula>
    </cfRule>
    <cfRule type="cellIs" priority="3" operator="equal" aboveAverage="0" equalAverage="0" bottom="0" percent="0" rank="0" text="" dxfId="1">
      <formula>"No"</formula>
    </cfRule>
  </conditionalFormatting>
  <conditionalFormatting sqref="D7:G7">
    <cfRule type="cellIs" priority="4" operator="equal" aboveAverage="0" equalAverage="0" bottom="0" percent="0" rank="0" text="" dxfId="0">
      <formula>"Yes"</formula>
    </cfRule>
    <cfRule type="cellIs" priority="5" operator="equal" aboveAverage="0" equalAverage="0" bottom="0" percent="0" rank="0" text="" dxfId="1">
      <formula>"No"</formula>
    </cfRule>
  </conditionalFormatting>
  <conditionalFormatting sqref="D17:G17">
    <cfRule type="cellIs" priority="6" operator="equal" aboveAverage="0" equalAverage="0" bottom="0" percent="0" rank="0" text="" dxfId="0">
      <formula>"Yes"</formula>
    </cfRule>
    <cfRule type="cellIs" priority="7" operator="equal" aboveAverage="0" equalAverage="0" bottom="0" percent="0" rank="0" text="" dxfId="1">
      <formula>"No"</formula>
    </cfRule>
  </conditionalFormatting>
  <dataValidations count="3">
    <dataValidation allowBlank="true" errorStyle="stop" operator="between" showDropDown="false" showErrorMessage="false" showInputMessage="false" sqref="D7:G7 D17:G17 D21:G32" type="list">
      <formula1>"Yes,No"</formula1>
      <formula2>0</formula2>
    </dataValidation>
    <dataValidation allowBlank="true" errorStyle="stop" operator="between" showDropDown="false" showErrorMessage="false" showInputMessage="false" sqref="D10:G10" type="list">
      <formula1>"Concurrent,Monthly,Quarterly,Half-yearly,Annual"</formula1>
      <formula2>0</formula2>
    </dataValidation>
    <dataValidation allowBlank="false" error="Enter a whole number ≥ 0" errorStyle="stop" operator="greaterThanOrEqual" showDropDown="false" showErrorMessage="true" showInputMessage="false" sqref="D12:G14" type="whol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J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9"/>
    <col collapsed="false" customWidth="true" hidden="false" outlineLevel="0" max="3" min="3" style="0" width="58"/>
    <col collapsed="false" customWidth="true" hidden="false" outlineLevel="0" max="7" min="4" style="0" width="20"/>
    <col collapsed="false" customWidth="true" hidden="false" outlineLevel="0" max="8" min="8" style="0" width="18"/>
    <col collapsed="false" customWidth="true" hidden="false" outlineLevel="0" max="10" min="9" style="0" width="30"/>
  </cols>
  <sheetData>
    <row r="2" customFormat="false" ht="43.5" hidden="false" customHeight="true" outlineLevel="0" collapsed="false">
      <c r="B2" s="19" t="s">
        <v>251</v>
      </c>
      <c r="C2" s="19"/>
      <c r="D2" s="19"/>
      <c r="E2" s="19"/>
      <c r="F2" s="19"/>
      <c r="G2" s="19"/>
      <c r="H2" s="19"/>
      <c r="I2" s="19"/>
      <c r="J2" s="19"/>
    </row>
    <row r="3" customFormat="false" ht="48" hidden="false" customHeight="true" outlineLevel="0" collapsed="false">
      <c r="B3" s="20" t="s">
        <v>252</v>
      </c>
      <c r="C3" s="20"/>
      <c r="D3" s="20"/>
      <c r="E3" s="20"/>
      <c r="F3" s="20"/>
      <c r="G3" s="20"/>
      <c r="H3" s="20"/>
      <c r="I3" s="20"/>
      <c r="J3" s="20"/>
    </row>
    <row r="5" customFormat="false" ht="49.5" hidden="false" customHeight="true" outlineLevel="0" collapsed="false">
      <c r="B5" s="9" t="s">
        <v>186</v>
      </c>
      <c r="C5" s="9" t="s">
        <v>187</v>
      </c>
      <c r="D5" s="9" t="s">
        <v>188</v>
      </c>
      <c r="E5" s="9" t="s">
        <v>189</v>
      </c>
      <c r="F5" s="9" t="s">
        <v>190</v>
      </c>
      <c r="G5" s="9" t="s">
        <v>191</v>
      </c>
      <c r="H5" s="9" t="s">
        <v>192</v>
      </c>
      <c r="I5" s="9" t="s">
        <v>193</v>
      </c>
      <c r="J5" s="9" t="s">
        <v>194</v>
      </c>
    </row>
    <row r="6" customFormat="false" ht="30" hidden="false" customHeight="true" outlineLevel="0" collapsed="false">
      <c r="B6" s="21" t="s">
        <v>195</v>
      </c>
      <c r="C6" s="22" t="s">
        <v>253</v>
      </c>
      <c r="D6" s="23"/>
      <c r="E6" s="23"/>
      <c r="F6" s="23"/>
      <c r="G6" s="23"/>
      <c r="H6" s="23"/>
      <c r="I6" s="23"/>
      <c r="J6" s="23"/>
    </row>
    <row r="7" customFormat="false" ht="30" hidden="false" customHeight="true" outlineLevel="0" collapsed="false">
      <c r="B7" s="24" t="s">
        <v>254</v>
      </c>
      <c r="C7" s="10" t="s">
        <v>255</v>
      </c>
      <c r="D7" s="28"/>
      <c r="E7" s="28"/>
      <c r="F7" s="28"/>
      <c r="G7" s="28"/>
      <c r="H7" s="26"/>
      <c r="I7" s="27"/>
      <c r="J7" s="27"/>
    </row>
    <row r="8" customFormat="false" ht="30" hidden="false" customHeight="true" outlineLevel="0" collapsed="false">
      <c r="B8" s="24" t="s">
        <v>256</v>
      </c>
      <c r="C8" s="10" t="s">
        <v>257</v>
      </c>
      <c r="D8" s="28"/>
      <c r="E8" s="28"/>
      <c r="F8" s="28"/>
      <c r="G8" s="28"/>
      <c r="H8" s="26"/>
      <c r="I8" s="27"/>
      <c r="J8" s="27"/>
    </row>
    <row r="9" customFormat="false" ht="48" hidden="false" customHeight="true" outlineLevel="0" collapsed="false">
      <c r="B9" s="24" t="s">
        <v>258</v>
      </c>
      <c r="C9" s="10" t="s">
        <v>259</v>
      </c>
      <c r="D9" s="28"/>
      <c r="E9" s="28"/>
      <c r="F9" s="28"/>
      <c r="G9" s="28"/>
      <c r="H9" s="26"/>
      <c r="I9" s="27"/>
      <c r="J9" s="27"/>
    </row>
    <row r="10" customFormat="false" ht="30" hidden="false" customHeight="true" outlineLevel="0" collapsed="false">
      <c r="B10" s="24" t="s">
        <v>260</v>
      </c>
      <c r="C10" s="10" t="s">
        <v>261</v>
      </c>
      <c r="D10" s="29"/>
      <c r="E10" s="29"/>
      <c r="F10" s="29"/>
      <c r="G10" s="29"/>
      <c r="H10" s="26"/>
      <c r="I10" s="27"/>
      <c r="J10" s="27"/>
    </row>
    <row r="11" customFormat="false" ht="30" hidden="false" customHeight="true" outlineLevel="0" collapsed="false">
      <c r="B11" s="24" t="s">
        <v>262</v>
      </c>
      <c r="C11" s="32" t="s">
        <v>263</v>
      </c>
      <c r="D11" s="36" t="str">
        <f aca="false">IF(D10="","-",D10-DATE(2026,3,31))</f>
        <v>-</v>
      </c>
      <c r="E11" s="36" t="str">
        <f aca="false">IF(E10="","-",E10-DATE(2025,3,31))</f>
        <v>-</v>
      </c>
      <c r="F11" s="36" t="str">
        <f aca="false">IF(F10="","-",F10-DATE(2024,3,31))</f>
        <v>-</v>
      </c>
      <c r="G11" s="36" t="str">
        <f aca="false">IF(G10="","-",G10-DATE(2023,3,31))</f>
        <v>-</v>
      </c>
      <c r="H11" s="36" t="str">
        <f aca="false">IFERROR(AVERAGE(D11:F11),"-")</f>
        <v>-</v>
      </c>
      <c r="I11" s="26"/>
      <c r="J11" s="26"/>
    </row>
    <row r="12" customFormat="false" ht="30" hidden="false" customHeight="true" outlineLevel="0" collapsed="false">
      <c r="B12" s="24" t="s">
        <v>264</v>
      </c>
      <c r="C12" s="10" t="s">
        <v>265</v>
      </c>
      <c r="D12" s="25"/>
      <c r="E12" s="25"/>
      <c r="F12" s="25"/>
      <c r="G12" s="25"/>
      <c r="H12" s="26"/>
      <c r="I12" s="27"/>
      <c r="J12" s="27"/>
    </row>
    <row r="13" customFormat="false" ht="30" hidden="false" customHeight="true" outlineLevel="0" collapsed="false">
      <c r="B13" s="24" t="s">
        <v>266</v>
      </c>
      <c r="C13" s="10" t="s">
        <v>267</v>
      </c>
      <c r="D13" s="30"/>
      <c r="E13" s="30"/>
      <c r="F13" s="30"/>
      <c r="G13" s="30"/>
      <c r="H13" s="31" t="n">
        <f aca="false">SUM(D13:F13)</f>
        <v>0</v>
      </c>
      <c r="I13" s="27"/>
      <c r="J13" s="27"/>
    </row>
    <row r="14" customFormat="false" ht="30" hidden="false" customHeight="true" outlineLevel="0" collapsed="false">
      <c r="B14" s="24" t="s">
        <v>268</v>
      </c>
      <c r="C14" s="10" t="s">
        <v>269</v>
      </c>
      <c r="D14" s="30"/>
      <c r="E14" s="30"/>
      <c r="F14" s="30"/>
      <c r="G14" s="30"/>
      <c r="H14" s="31" t="n">
        <f aca="false">SUM(D14:F14)</f>
        <v>0</v>
      </c>
      <c r="I14" s="27"/>
      <c r="J14" s="27"/>
    </row>
    <row r="15" customFormat="false" ht="30" hidden="false" customHeight="true" outlineLevel="0" collapsed="false">
      <c r="B15" s="24" t="s">
        <v>270</v>
      </c>
      <c r="C15" s="32" t="s">
        <v>271</v>
      </c>
      <c r="D15" s="33" t="n">
        <f aca="false">N(D13)-N(D14)</f>
        <v>0</v>
      </c>
      <c r="E15" s="33" t="n">
        <f aca="false">N(E13)-N(E14)</f>
        <v>0</v>
      </c>
      <c r="F15" s="33" t="n">
        <f aca="false">N(F13)-N(F14)</f>
        <v>0</v>
      </c>
      <c r="G15" s="33" t="n">
        <f aca="false">N(G13)-N(G14)</f>
        <v>0</v>
      </c>
      <c r="H15" s="33" t="n">
        <f aca="false">N(H13)-N(H14)</f>
        <v>0</v>
      </c>
      <c r="I15" s="26"/>
      <c r="J15" s="26"/>
    </row>
    <row r="16" customFormat="false" ht="30" hidden="false" customHeight="true" outlineLevel="0" collapsed="false">
      <c r="B16" s="24" t="s">
        <v>272</v>
      </c>
      <c r="C16" s="32" t="s">
        <v>273</v>
      </c>
      <c r="D16" s="34" t="str">
        <f aca="false">IF(N(D13)=0,"-",D14/D13)</f>
        <v>-</v>
      </c>
      <c r="E16" s="34" t="str">
        <f aca="false">IF(N(E13)=0,"-",E14/E13)</f>
        <v>-</v>
      </c>
      <c r="F16" s="34" t="str">
        <f aca="false">IF(N(F13)=0,"-",F14/F13)</f>
        <v>-</v>
      </c>
      <c r="G16" s="34" t="str">
        <f aca="false">IF(N(G13)=0,"-",G14/G13)</f>
        <v>-</v>
      </c>
      <c r="H16" s="34" t="str">
        <f aca="false">IF(N(H13)=0,"-",H14/H13)</f>
        <v>-</v>
      </c>
      <c r="I16" s="26"/>
      <c r="J16" s="26"/>
    </row>
    <row r="17" customFormat="false" ht="48" hidden="false" customHeight="true" outlineLevel="0" collapsed="false">
      <c r="B17" s="24" t="s">
        <v>274</v>
      </c>
      <c r="C17" s="10" t="s">
        <v>275</v>
      </c>
      <c r="D17" s="29"/>
      <c r="E17" s="29"/>
      <c r="F17" s="29"/>
      <c r="G17" s="29"/>
      <c r="H17" s="26"/>
      <c r="I17" s="27"/>
      <c r="J17" s="27"/>
    </row>
    <row r="18" customFormat="false" ht="48" hidden="false" customHeight="true" outlineLevel="0" collapsed="false">
      <c r="B18" s="24" t="s">
        <v>276</v>
      </c>
      <c r="C18" s="10" t="s">
        <v>277</v>
      </c>
      <c r="D18" s="29"/>
      <c r="E18" s="29"/>
      <c r="F18" s="29"/>
      <c r="G18" s="29"/>
      <c r="H18" s="26"/>
      <c r="I18" s="27"/>
      <c r="J18" s="27"/>
    </row>
    <row r="19" customFormat="false" ht="48" hidden="false" customHeight="true" outlineLevel="0" collapsed="false">
      <c r="B19" s="24" t="s">
        <v>278</v>
      </c>
      <c r="C19" s="10" t="s">
        <v>279</v>
      </c>
      <c r="D19" s="25"/>
      <c r="E19" s="25"/>
      <c r="F19" s="25"/>
      <c r="G19" s="25"/>
      <c r="H19" s="26"/>
      <c r="I19" s="27"/>
      <c r="J19" s="27"/>
    </row>
    <row r="21" customFormat="false" ht="30" hidden="false" customHeight="true" outlineLevel="0" collapsed="false">
      <c r="B21" s="21" t="s">
        <v>205</v>
      </c>
      <c r="C21" s="22" t="s">
        <v>280</v>
      </c>
      <c r="D21" s="23"/>
      <c r="E21" s="23"/>
      <c r="F21" s="23"/>
      <c r="G21" s="23"/>
      <c r="H21" s="23"/>
      <c r="I21" s="23"/>
      <c r="J21" s="23"/>
    </row>
    <row r="22" customFormat="false" ht="30" hidden="false" customHeight="true" outlineLevel="0" collapsed="false">
      <c r="B22" s="24" t="s">
        <v>281</v>
      </c>
      <c r="C22" s="10" t="s">
        <v>282</v>
      </c>
      <c r="D22" s="25"/>
      <c r="E22" s="25"/>
      <c r="F22" s="25"/>
      <c r="G22" s="25"/>
      <c r="H22" s="26"/>
      <c r="I22" s="27"/>
      <c r="J22" s="27"/>
    </row>
    <row r="23" customFormat="false" ht="30" hidden="false" customHeight="true" outlineLevel="0" collapsed="false">
      <c r="B23" s="24" t="s">
        <v>283</v>
      </c>
      <c r="C23" s="10" t="s">
        <v>284</v>
      </c>
      <c r="D23" s="25"/>
      <c r="E23" s="25"/>
      <c r="F23" s="25"/>
      <c r="G23" s="25"/>
      <c r="H23" s="26"/>
      <c r="I23" s="27"/>
      <c r="J23" s="27"/>
    </row>
    <row r="24" customFormat="false" ht="48" hidden="false" customHeight="true" outlineLevel="0" collapsed="false">
      <c r="B24" s="24" t="s">
        <v>285</v>
      </c>
      <c r="C24" s="10" t="s">
        <v>286</v>
      </c>
      <c r="D24" s="25"/>
      <c r="E24" s="25"/>
      <c r="F24" s="25"/>
      <c r="G24" s="25"/>
      <c r="H24" s="26"/>
      <c r="I24" s="27"/>
      <c r="J24" s="27"/>
    </row>
    <row r="25" customFormat="false" ht="30" hidden="false" customHeight="true" outlineLevel="0" collapsed="false">
      <c r="B25" s="24" t="s">
        <v>287</v>
      </c>
      <c r="C25" s="10" t="s">
        <v>288</v>
      </c>
      <c r="D25" s="25"/>
      <c r="E25" s="25"/>
      <c r="F25" s="25"/>
      <c r="G25" s="25"/>
      <c r="H25" s="26"/>
      <c r="I25" s="27"/>
      <c r="J25" s="27"/>
    </row>
    <row r="26" customFormat="false" ht="30" hidden="false" customHeight="true" outlineLevel="0" collapsed="false">
      <c r="B26" s="24" t="s">
        <v>289</v>
      </c>
      <c r="C26" s="10" t="s">
        <v>290</v>
      </c>
      <c r="D26" s="25"/>
      <c r="E26" s="25"/>
      <c r="F26" s="25"/>
      <c r="G26" s="25"/>
      <c r="H26" s="26"/>
      <c r="I26" s="27"/>
      <c r="J26" s="27"/>
    </row>
    <row r="27" customFormat="false" ht="30" hidden="false" customHeight="true" outlineLevel="0" collapsed="false">
      <c r="B27" s="24" t="s">
        <v>205</v>
      </c>
      <c r="C27" s="32" t="s">
        <v>291</v>
      </c>
      <c r="D27" s="33" t="n">
        <f aca="false">COUNTIF(D22:D26,"Yes")</f>
        <v>0</v>
      </c>
      <c r="E27" s="33" t="n">
        <f aca="false">COUNTIF(E22:E26,"Yes")</f>
        <v>0</v>
      </c>
      <c r="F27" s="33" t="n">
        <f aca="false">COUNTIF(F22:F26,"Yes")</f>
        <v>0</v>
      </c>
      <c r="G27" s="33" t="n">
        <f aca="false">COUNTIF(G22:G26,"Yes")</f>
        <v>0</v>
      </c>
      <c r="H27" s="26"/>
      <c r="I27" s="26"/>
      <c r="J27" s="26"/>
    </row>
    <row r="29" customFormat="false" ht="45" hidden="false" customHeight="true" outlineLevel="0" collapsed="false">
      <c r="B29" s="35" t="s">
        <v>292</v>
      </c>
      <c r="C29" s="35"/>
      <c r="D29" s="35"/>
      <c r="E29" s="35"/>
      <c r="F29" s="35"/>
      <c r="G29" s="35"/>
      <c r="H29" s="35"/>
      <c r="I29" s="35"/>
      <c r="J29" s="35"/>
    </row>
  </sheetData>
  <mergeCells count="3">
    <mergeCell ref="B2:J2"/>
    <mergeCell ref="B3:J3"/>
    <mergeCell ref="B29:J29"/>
  </mergeCells>
  <conditionalFormatting sqref="D22:G26">
    <cfRule type="cellIs" priority="2" operator="equal" aboveAverage="0" equalAverage="0" bottom="0" percent="0" rank="0" text="" dxfId="0">
      <formula>"Yes"</formula>
    </cfRule>
    <cfRule type="cellIs" priority="3" operator="equal" aboveAverage="0" equalAverage="0" bottom="0" percent="0" rank="0" text="" dxfId="1">
      <formula>"No"</formula>
    </cfRule>
  </conditionalFormatting>
  <conditionalFormatting sqref="D12:G12">
    <cfRule type="cellIs" priority="4" operator="equal" aboveAverage="0" equalAverage="0" bottom="0" percent="0" rank="0" text="" dxfId="0">
      <formula>"Unqualified"</formula>
    </cfRule>
    <cfRule type="cellIs" priority="5" operator="equal" aboveAverage="0" equalAverage="0" bottom="0" percent="0" rank="0" text="" dxfId="1">
      <formula>"Qualified"</formula>
    </cfRule>
    <cfRule type="cellIs" priority="6" operator="equal" aboveAverage="0" equalAverage="0" bottom="0" percent="0" rank="0" text="" dxfId="1">
      <formula>"Adverse"</formula>
    </cfRule>
    <cfRule type="cellIs" priority="7" operator="equal" aboveAverage="0" equalAverage="0" bottom="0" percent="0" rank="0" text="" dxfId="1">
      <formula>"Disclaimer"</formula>
    </cfRule>
  </conditionalFormatting>
  <conditionalFormatting sqref="D19:G19">
    <cfRule type="cellIs" priority="8" operator="equal" aboveAverage="0" equalAverage="0" bottom="0" percent="0" rank="0" text="" dxfId="0">
      <formula>"Yes"</formula>
    </cfRule>
    <cfRule type="cellIs" priority="9" operator="equal" aboveAverage="0" equalAverage="0" bottom="0" percent="0" rank="0" text="" dxfId="1">
      <formula>"No"</formula>
    </cfRule>
  </conditionalFormatting>
  <dataValidations count="4">
    <dataValidation allowBlank="false" error="Enter a whole number ≥ 0" errorStyle="stop" operator="greaterThanOrEqual" showDropDown="false" showErrorMessage="true" showInputMessage="false" sqref="D13:G14" type="whole">
      <formula1>0</formula1>
      <formula2>0</formula2>
    </dataValidation>
    <dataValidation allowBlank="true" errorStyle="stop" operator="between" showDropDown="false" showErrorMessage="false" showInputMessage="false" sqref="D19:G19" type="list">
      <formula1>"Yes,No"</formula1>
      <formula2>0</formula2>
    </dataValidation>
    <dataValidation allowBlank="true" errorStyle="stop" operator="between" showDropDown="false" showErrorMessage="false" showInputMessage="false" sqref="D22:G26" type="list">
      <formula1>"Yes,No,Not Applicable"</formula1>
      <formula2>0</formula2>
    </dataValidation>
    <dataValidation allowBlank="true" errorStyle="stop" operator="between" showDropDown="false" showErrorMessage="false" showInputMessage="false" sqref="D12:G12" type="list">
      <formula1>"Unqualified,Qualified,Adverse,Disclaimer"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7"/>
    <col collapsed="false" customWidth="true" hidden="false" outlineLevel="0" max="3" min="3" style="0" width="58"/>
    <col collapsed="false" customWidth="true" hidden="false" outlineLevel="0" max="7" min="4" style="0" width="20"/>
    <col collapsed="false" customWidth="true" hidden="false" outlineLevel="0" max="8" min="8" style="0" width="36"/>
  </cols>
  <sheetData>
    <row r="2" customFormat="false" ht="43.5" hidden="false" customHeight="true" outlineLevel="0" collapsed="false">
      <c r="B2" s="19" t="s">
        <v>293</v>
      </c>
      <c r="C2" s="19"/>
      <c r="D2" s="19"/>
      <c r="E2" s="19"/>
      <c r="F2" s="19"/>
      <c r="G2" s="19"/>
      <c r="H2" s="19"/>
    </row>
    <row r="3" customFormat="false" ht="48" hidden="false" customHeight="true" outlineLevel="0" collapsed="false">
      <c r="B3" s="20" t="s">
        <v>294</v>
      </c>
      <c r="C3" s="20"/>
      <c r="D3" s="20"/>
      <c r="E3" s="20"/>
      <c r="F3" s="20"/>
      <c r="G3" s="20"/>
      <c r="H3" s="20"/>
    </row>
    <row r="5" customFormat="false" ht="57.75" hidden="false" customHeight="true" outlineLevel="0" collapsed="false">
      <c r="B5" s="9" t="s">
        <v>136</v>
      </c>
      <c r="C5" s="9" t="s">
        <v>295</v>
      </c>
      <c r="D5" s="9" t="s">
        <v>188</v>
      </c>
      <c r="E5" s="9" t="s">
        <v>189</v>
      </c>
      <c r="F5" s="9" t="s">
        <v>190</v>
      </c>
      <c r="G5" s="9" t="s">
        <v>191</v>
      </c>
      <c r="H5" s="9" t="s">
        <v>296</v>
      </c>
    </row>
    <row r="6" customFormat="false" ht="48" hidden="false" customHeight="true" outlineLevel="0" collapsed="false">
      <c r="B6" s="24" t="n">
        <v>1</v>
      </c>
      <c r="C6" s="10" t="s">
        <v>297</v>
      </c>
      <c r="D6" s="37"/>
      <c r="E6" s="37"/>
      <c r="F6" s="37"/>
      <c r="G6" s="37"/>
      <c r="H6" s="27"/>
    </row>
    <row r="7" customFormat="false" ht="48" hidden="false" customHeight="true" outlineLevel="0" collapsed="false">
      <c r="B7" s="24" t="n">
        <v>2</v>
      </c>
      <c r="C7" s="10" t="s">
        <v>298</v>
      </c>
      <c r="D7" s="37"/>
      <c r="E7" s="37"/>
      <c r="F7" s="37"/>
      <c r="G7" s="37"/>
      <c r="H7" s="27"/>
    </row>
    <row r="8" customFormat="false" ht="48" hidden="false" customHeight="true" outlineLevel="0" collapsed="false">
      <c r="B8" s="24" t="n">
        <v>3</v>
      </c>
      <c r="C8" s="10" t="s">
        <v>299</v>
      </c>
      <c r="D8" s="37"/>
      <c r="E8" s="37"/>
      <c r="F8" s="37"/>
      <c r="G8" s="37"/>
      <c r="H8" s="27"/>
    </row>
    <row r="9" customFormat="false" ht="48" hidden="false" customHeight="true" outlineLevel="0" collapsed="false">
      <c r="B9" s="24" t="n">
        <v>4</v>
      </c>
      <c r="C9" s="10" t="s">
        <v>300</v>
      </c>
      <c r="D9" s="37"/>
      <c r="E9" s="37"/>
      <c r="F9" s="37"/>
      <c r="G9" s="37"/>
      <c r="H9" s="27"/>
    </row>
    <row r="10" customFormat="false" ht="48" hidden="false" customHeight="true" outlineLevel="0" collapsed="false">
      <c r="B10" s="24" t="n">
        <v>5</v>
      </c>
      <c r="C10" s="10" t="s">
        <v>301</v>
      </c>
      <c r="D10" s="37"/>
      <c r="E10" s="37"/>
      <c r="F10" s="37"/>
      <c r="G10" s="37"/>
      <c r="H10" s="27"/>
    </row>
    <row r="11" customFormat="false" ht="48" hidden="false" customHeight="true" outlineLevel="0" collapsed="false">
      <c r="B11" s="24" t="n">
        <v>6</v>
      </c>
      <c r="C11" s="10" t="s">
        <v>302</v>
      </c>
      <c r="D11" s="37"/>
      <c r="E11" s="37"/>
      <c r="F11" s="37"/>
      <c r="G11" s="37"/>
      <c r="H11" s="27"/>
    </row>
    <row r="12" customFormat="false" ht="48" hidden="false" customHeight="true" outlineLevel="0" collapsed="false">
      <c r="B12" s="24" t="n">
        <v>7</v>
      </c>
      <c r="C12" s="10" t="s">
        <v>303</v>
      </c>
      <c r="D12" s="37"/>
      <c r="E12" s="37"/>
      <c r="F12" s="37"/>
      <c r="G12" s="37"/>
      <c r="H12" s="27"/>
    </row>
    <row r="13" customFormat="false" ht="48" hidden="false" customHeight="true" outlineLevel="0" collapsed="false">
      <c r="B13" s="24" t="n">
        <v>8</v>
      </c>
      <c r="C13" s="10" t="s">
        <v>304</v>
      </c>
      <c r="D13" s="37"/>
      <c r="E13" s="37"/>
      <c r="F13" s="37"/>
      <c r="G13" s="37"/>
      <c r="H13" s="27"/>
    </row>
    <row r="14" customFormat="false" ht="48" hidden="false" customHeight="true" outlineLevel="0" collapsed="false">
      <c r="B14" s="24" t="n">
        <v>9</v>
      </c>
      <c r="C14" s="10" t="s">
        <v>305</v>
      </c>
      <c r="D14" s="37"/>
      <c r="E14" s="37"/>
      <c r="F14" s="37"/>
      <c r="G14" s="37"/>
      <c r="H14" s="27"/>
    </row>
    <row r="15" customFormat="false" ht="48" hidden="false" customHeight="true" outlineLevel="0" collapsed="false">
      <c r="B15" s="24" t="n">
        <v>10</v>
      </c>
      <c r="C15" s="10" t="s">
        <v>306</v>
      </c>
      <c r="D15" s="37"/>
      <c r="E15" s="37"/>
      <c r="F15" s="37"/>
      <c r="G15" s="37"/>
      <c r="H15" s="27"/>
    </row>
    <row r="16" customFormat="false" ht="48" hidden="false" customHeight="true" outlineLevel="0" collapsed="false">
      <c r="B16" s="24" t="n">
        <v>11</v>
      </c>
      <c r="C16" s="10" t="s">
        <v>307</v>
      </c>
      <c r="D16" s="37"/>
      <c r="E16" s="37"/>
      <c r="F16" s="37"/>
      <c r="G16" s="37"/>
      <c r="H16" s="27"/>
    </row>
    <row r="17" customFormat="false" ht="48" hidden="false" customHeight="true" outlineLevel="0" collapsed="false">
      <c r="B17" s="24" t="n">
        <v>12</v>
      </c>
      <c r="C17" s="10" t="s">
        <v>308</v>
      </c>
      <c r="D17" s="37"/>
      <c r="E17" s="37"/>
      <c r="F17" s="37"/>
      <c r="G17" s="37"/>
      <c r="H17" s="27"/>
    </row>
    <row r="18" customFormat="false" ht="30" hidden="false" customHeight="true" outlineLevel="0" collapsed="false">
      <c r="B18" s="24"/>
      <c r="C18" s="32" t="s">
        <v>309</v>
      </c>
      <c r="D18" s="33" t="n">
        <f aca="false">COUNTIF(D6:D17,"Implemented")</f>
        <v>0</v>
      </c>
      <c r="E18" s="33" t="n">
        <f aca="false">COUNTIF(E6:E17,"Implemented")</f>
        <v>0</v>
      </c>
      <c r="F18" s="33" t="n">
        <f aca="false">COUNTIF(F6:F17,"Implemented")</f>
        <v>0</v>
      </c>
      <c r="G18" s="33" t="n">
        <f aca="false">COUNTIF(G6:G17,"Implemented")</f>
        <v>0</v>
      </c>
      <c r="H18" s="26"/>
    </row>
    <row r="19" customFormat="false" ht="30" hidden="false" customHeight="true" outlineLevel="0" collapsed="false">
      <c r="B19" s="24"/>
      <c r="C19" s="10" t="s">
        <v>310</v>
      </c>
      <c r="D19" s="31" t="n">
        <f aca="false">COUNTIF(D6:D17,"Partially implemented")</f>
        <v>0</v>
      </c>
      <c r="E19" s="31" t="n">
        <f aca="false">COUNTIF(E6:E17,"Partially implemented")</f>
        <v>0</v>
      </c>
      <c r="F19" s="31" t="n">
        <f aca="false">COUNTIF(F6:F17,"Partially implemented")</f>
        <v>0</v>
      </c>
      <c r="G19" s="31" t="n">
        <f aca="false">COUNTIF(G6:G17,"Partially implemented")</f>
        <v>0</v>
      </c>
      <c r="H19" s="26"/>
    </row>
  </sheetData>
  <mergeCells count="2">
    <mergeCell ref="B2:H2"/>
    <mergeCell ref="B3:H3"/>
  </mergeCells>
  <conditionalFormatting sqref="D6:G17">
    <cfRule type="cellIs" priority="2" operator="equal" aboveAverage="0" equalAverage="0" bottom="0" percent="0" rank="0" text="" dxfId="2">
      <formula>"Implemented"</formula>
    </cfRule>
    <cfRule type="cellIs" priority="3" operator="equal" aboveAverage="0" equalAverage="0" bottom="0" percent="0" rank="0" text="" dxfId="3">
      <formula>"Not implemented"</formula>
    </cfRule>
    <cfRule type="cellIs" priority="4" operator="equal" aboveAverage="0" equalAverage="0" bottom="0" percent="0" rank="0" text="" dxfId="4">
      <formula>"Partially implemented"</formula>
    </cfRule>
  </conditionalFormatting>
  <dataValidations count="1">
    <dataValidation allowBlank="true" errorStyle="stop" operator="between" showDropDown="false" showErrorMessage="false" showInputMessage="false" sqref="D6:G17" type="list">
      <formula1>"Implemented,Partially implemented,Not implemented,Not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K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
    <col collapsed="false" customWidth="true" hidden="false" outlineLevel="0" max="3" min="3" style="0" width="36"/>
    <col collapsed="false" customWidth="true" hidden="false" outlineLevel="0" max="4" min="4" style="0" width="18"/>
    <col collapsed="false" customWidth="true" hidden="false" outlineLevel="0" max="6" min="5" style="0" width="14"/>
    <col collapsed="false" customWidth="true" hidden="false" outlineLevel="0" max="7" min="7" style="0" width="12"/>
    <col collapsed="false" customWidth="true" hidden="false" outlineLevel="0" max="8" min="8" style="0" width="14"/>
    <col collapsed="false" customWidth="true" hidden="false" outlineLevel="0" max="9" min="9" style="0" width="46"/>
    <col collapsed="false" customWidth="true" hidden="false" outlineLevel="0" max="10" min="10" style="0" width="22"/>
    <col collapsed="false" customWidth="true" hidden="false" outlineLevel="0" max="11" min="11" style="0" width="18"/>
  </cols>
  <sheetData>
    <row r="2" customFormat="false" ht="43.5" hidden="false" customHeight="true" outlineLevel="0" collapsed="false">
      <c r="B2" s="19" t="s">
        <v>311</v>
      </c>
      <c r="C2" s="19"/>
      <c r="D2" s="19"/>
      <c r="E2" s="19"/>
      <c r="F2" s="19"/>
      <c r="G2" s="19"/>
      <c r="H2" s="19"/>
      <c r="I2" s="19"/>
      <c r="J2" s="19"/>
      <c r="K2" s="19"/>
    </row>
    <row r="3" customFormat="false" ht="68.25" hidden="false" customHeight="true" outlineLevel="0" collapsed="false">
      <c r="B3" s="20" t="s">
        <v>312</v>
      </c>
      <c r="C3" s="20"/>
      <c r="D3" s="20"/>
      <c r="E3" s="20"/>
      <c r="F3" s="20"/>
      <c r="G3" s="20"/>
      <c r="H3" s="20"/>
      <c r="I3" s="20"/>
      <c r="J3" s="20"/>
      <c r="K3" s="20"/>
    </row>
    <row r="5" customFormat="false" ht="57.75" hidden="false" customHeight="true" outlineLevel="0" collapsed="false">
      <c r="B5" s="9" t="s">
        <v>136</v>
      </c>
      <c r="C5" s="9" t="s">
        <v>313</v>
      </c>
      <c r="D5" s="9" t="s">
        <v>314</v>
      </c>
      <c r="E5" s="9" t="s">
        <v>315</v>
      </c>
      <c r="F5" s="9" t="s">
        <v>316</v>
      </c>
      <c r="G5" s="9" t="s">
        <v>317</v>
      </c>
      <c r="H5" s="9" t="s">
        <v>318</v>
      </c>
      <c r="I5" s="9" t="s">
        <v>319</v>
      </c>
      <c r="J5" s="9" t="s">
        <v>320</v>
      </c>
      <c r="K5" s="9" t="s">
        <v>321</v>
      </c>
    </row>
    <row r="6" customFormat="false" ht="48" hidden="false" customHeight="true" outlineLevel="0" collapsed="false">
      <c r="B6" s="38" t="n">
        <v>1</v>
      </c>
      <c r="C6" s="27" t="s">
        <v>322</v>
      </c>
      <c r="D6" s="27" t="s">
        <v>323</v>
      </c>
      <c r="E6" s="39"/>
      <c r="F6" s="39"/>
      <c r="G6" s="40" t="str">
        <f aca="false">IF(OR(E6="",F6=""),"-",E6*F6)</f>
        <v>-</v>
      </c>
      <c r="H6" s="40" t="str">
        <f aca="false">IF(G6="-","-",IF(G6&gt;=15,"High",IF(G6&gt;=8,"Medium","Low")))</f>
        <v>-</v>
      </c>
      <c r="I6" s="41" t="s">
        <v>324</v>
      </c>
      <c r="J6" s="27" t="s">
        <v>325</v>
      </c>
      <c r="K6" s="39" t="s">
        <v>326</v>
      </c>
    </row>
    <row r="7" customFormat="false" ht="64.5" hidden="false" customHeight="true" outlineLevel="0" collapsed="false">
      <c r="B7" s="38" t="n">
        <v>2</v>
      </c>
      <c r="C7" s="27" t="s">
        <v>327</v>
      </c>
      <c r="D7" s="27" t="s">
        <v>328</v>
      </c>
      <c r="E7" s="39"/>
      <c r="F7" s="39"/>
      <c r="G7" s="40" t="str">
        <f aca="false">IF(OR(E7="",F7=""),"-",E7*F7)</f>
        <v>-</v>
      </c>
      <c r="H7" s="40" t="str">
        <f aca="false">IF(G7="-","-",IF(G7&gt;=15,"High",IF(G7&gt;=8,"Medium","Low")))</f>
        <v>-</v>
      </c>
      <c r="I7" s="41" t="s">
        <v>329</v>
      </c>
      <c r="J7" s="27" t="s">
        <v>330</v>
      </c>
      <c r="K7" s="39" t="s">
        <v>326</v>
      </c>
    </row>
    <row r="8" customFormat="false" ht="48" hidden="false" customHeight="true" outlineLevel="0" collapsed="false">
      <c r="B8" s="38" t="n">
        <v>3</v>
      </c>
      <c r="C8" s="27" t="s">
        <v>331</v>
      </c>
      <c r="D8" s="27" t="s">
        <v>332</v>
      </c>
      <c r="E8" s="39"/>
      <c r="F8" s="39"/>
      <c r="G8" s="40" t="str">
        <f aca="false">IF(OR(E8="",F8=""),"-",E8*F8)</f>
        <v>-</v>
      </c>
      <c r="H8" s="40" t="str">
        <f aca="false">IF(G8="-","-",IF(G8&gt;=15,"High",IF(G8&gt;=8,"Medium","Low")))</f>
        <v>-</v>
      </c>
      <c r="I8" s="41" t="s">
        <v>333</v>
      </c>
      <c r="J8" s="27" t="s">
        <v>330</v>
      </c>
      <c r="K8" s="39" t="s">
        <v>326</v>
      </c>
    </row>
    <row r="9" customFormat="false" ht="68.25" hidden="false" customHeight="true" outlineLevel="0" collapsed="false">
      <c r="B9" s="38" t="n">
        <v>4</v>
      </c>
      <c r="C9" s="27" t="s">
        <v>334</v>
      </c>
      <c r="D9" s="27" t="s">
        <v>335</v>
      </c>
      <c r="E9" s="39"/>
      <c r="F9" s="39"/>
      <c r="G9" s="40" t="str">
        <f aca="false">IF(OR(E9="",F9=""),"-",E9*F9)</f>
        <v>-</v>
      </c>
      <c r="H9" s="40" t="str">
        <f aca="false">IF(G9="-","-",IF(G9&gt;=15,"High",IF(G9&gt;=8,"Medium","Low")))</f>
        <v>-</v>
      </c>
      <c r="I9" s="41" t="s">
        <v>336</v>
      </c>
      <c r="J9" s="27" t="s">
        <v>337</v>
      </c>
      <c r="K9" s="39" t="s">
        <v>326</v>
      </c>
    </row>
    <row r="10" customFormat="false" ht="48" hidden="false" customHeight="true" outlineLevel="0" collapsed="false">
      <c r="B10" s="38" t="n">
        <v>5</v>
      </c>
      <c r="C10" s="27" t="s">
        <v>338</v>
      </c>
      <c r="D10" s="27" t="s">
        <v>339</v>
      </c>
      <c r="E10" s="39"/>
      <c r="F10" s="39"/>
      <c r="G10" s="40" t="str">
        <f aca="false">IF(OR(E10="",F10=""),"-",E10*F10)</f>
        <v>-</v>
      </c>
      <c r="H10" s="40" t="str">
        <f aca="false">IF(G10="-","-",IF(G10&gt;=15,"High",IF(G10&gt;=8,"Medium","Low")))</f>
        <v>-</v>
      </c>
      <c r="I10" s="41" t="s">
        <v>340</v>
      </c>
      <c r="J10" s="27" t="s">
        <v>341</v>
      </c>
      <c r="K10" s="39" t="s">
        <v>326</v>
      </c>
    </row>
    <row r="11" customFormat="false" ht="48" hidden="false" customHeight="true" outlineLevel="0" collapsed="false">
      <c r="B11" s="38" t="n">
        <v>6</v>
      </c>
      <c r="C11" s="27" t="s">
        <v>342</v>
      </c>
      <c r="D11" s="27" t="s">
        <v>343</v>
      </c>
      <c r="E11" s="39"/>
      <c r="F11" s="39"/>
      <c r="G11" s="40" t="str">
        <f aca="false">IF(OR(E11="",F11=""),"-",E11*F11)</f>
        <v>-</v>
      </c>
      <c r="H11" s="40" t="str">
        <f aca="false">IF(G11="-","-",IF(G11&gt;=15,"High",IF(G11&gt;=8,"Medium","Low")))</f>
        <v>-</v>
      </c>
      <c r="I11" s="41" t="s">
        <v>344</v>
      </c>
      <c r="J11" s="27" t="s">
        <v>345</v>
      </c>
      <c r="K11" s="39" t="s">
        <v>326</v>
      </c>
    </row>
    <row r="12" customFormat="false" ht="48" hidden="false" customHeight="true" outlineLevel="0" collapsed="false">
      <c r="B12" s="38" t="n">
        <v>7</v>
      </c>
      <c r="C12" s="27" t="s">
        <v>346</v>
      </c>
      <c r="D12" s="27" t="s">
        <v>347</v>
      </c>
      <c r="E12" s="39"/>
      <c r="F12" s="39"/>
      <c r="G12" s="40" t="str">
        <f aca="false">IF(OR(E12="",F12=""),"-",E12*F12)</f>
        <v>-</v>
      </c>
      <c r="H12" s="40" t="str">
        <f aca="false">IF(G12="-","-",IF(G12&gt;=15,"High",IF(G12&gt;=8,"Medium","Low")))</f>
        <v>-</v>
      </c>
      <c r="I12" s="41" t="s">
        <v>348</v>
      </c>
      <c r="J12" s="27" t="s">
        <v>349</v>
      </c>
      <c r="K12" s="39" t="s">
        <v>326</v>
      </c>
    </row>
    <row r="13" customFormat="false" ht="48" hidden="false" customHeight="true" outlineLevel="0" collapsed="false">
      <c r="B13" s="38" t="n">
        <v>8</v>
      </c>
      <c r="C13" s="27" t="s">
        <v>350</v>
      </c>
      <c r="D13" s="27" t="s">
        <v>328</v>
      </c>
      <c r="E13" s="39"/>
      <c r="F13" s="39"/>
      <c r="G13" s="40" t="str">
        <f aca="false">IF(OR(E13="",F13=""),"-",E13*F13)</f>
        <v>-</v>
      </c>
      <c r="H13" s="40" t="str">
        <f aca="false">IF(G13="-","-",IF(G13&gt;=15,"High",IF(G13&gt;=8,"Medium","Low")))</f>
        <v>-</v>
      </c>
      <c r="I13" s="41" t="s">
        <v>351</v>
      </c>
      <c r="J13" s="27" t="s">
        <v>330</v>
      </c>
      <c r="K13" s="39" t="s">
        <v>326</v>
      </c>
    </row>
    <row r="14" customFormat="false" ht="48" hidden="false" customHeight="true" outlineLevel="0" collapsed="false">
      <c r="B14" s="38" t="n">
        <v>9</v>
      </c>
      <c r="C14" s="27" t="s">
        <v>352</v>
      </c>
      <c r="D14" s="27" t="s">
        <v>343</v>
      </c>
      <c r="E14" s="39"/>
      <c r="F14" s="39"/>
      <c r="G14" s="40" t="str">
        <f aca="false">IF(OR(E14="",F14=""),"-",E14*F14)</f>
        <v>-</v>
      </c>
      <c r="H14" s="40" t="str">
        <f aca="false">IF(G14="-","-",IF(G14&gt;=15,"High",IF(G14&gt;=8,"Medium","Low")))</f>
        <v>-</v>
      </c>
      <c r="I14" s="41" t="s">
        <v>353</v>
      </c>
      <c r="J14" s="27" t="s">
        <v>354</v>
      </c>
      <c r="K14" s="39" t="s">
        <v>326</v>
      </c>
    </row>
    <row r="15" customFormat="false" ht="48" hidden="false" customHeight="true" outlineLevel="0" collapsed="false">
      <c r="B15" s="38" t="n">
        <v>10</v>
      </c>
      <c r="C15" s="27" t="s">
        <v>355</v>
      </c>
      <c r="D15" s="27" t="s">
        <v>356</v>
      </c>
      <c r="E15" s="39"/>
      <c r="F15" s="39"/>
      <c r="G15" s="40" t="str">
        <f aca="false">IF(OR(E15="",F15=""),"-",E15*F15)</f>
        <v>-</v>
      </c>
      <c r="H15" s="40" t="str">
        <f aca="false">IF(G15="-","-",IF(G15&gt;=15,"High",IF(G15&gt;=8,"Medium","Low")))</f>
        <v>-</v>
      </c>
      <c r="I15" s="41" t="s">
        <v>357</v>
      </c>
      <c r="J15" s="27" t="s">
        <v>358</v>
      </c>
      <c r="K15" s="39" t="s">
        <v>326</v>
      </c>
    </row>
    <row r="16" customFormat="false" ht="30" hidden="false" customHeight="true" outlineLevel="0" collapsed="false">
      <c r="B16" s="38" t="n">
        <v>11</v>
      </c>
      <c r="C16" s="27"/>
      <c r="D16" s="27"/>
      <c r="E16" s="42"/>
      <c r="F16" s="42"/>
      <c r="G16" s="40" t="str">
        <f aca="false">IF(OR(E16="",F16=""),"-",E16*F16)</f>
        <v>-</v>
      </c>
      <c r="H16" s="40" t="str">
        <f aca="false">IF(G16="-","-",IF(G16&gt;=15,"High",IF(G16&gt;=8,"Medium","Low")))</f>
        <v>-</v>
      </c>
      <c r="I16" s="27"/>
      <c r="J16" s="27"/>
      <c r="K16" s="27"/>
    </row>
    <row r="17" customFormat="false" ht="30" hidden="false" customHeight="true" outlineLevel="0" collapsed="false">
      <c r="B17" s="38" t="n">
        <v>12</v>
      </c>
      <c r="C17" s="27"/>
      <c r="D17" s="27"/>
      <c r="E17" s="42"/>
      <c r="F17" s="42"/>
      <c r="G17" s="40" t="str">
        <f aca="false">IF(OR(E17="",F17=""),"-",E17*F17)</f>
        <v>-</v>
      </c>
      <c r="H17" s="40" t="str">
        <f aca="false">IF(G17="-","-",IF(G17&gt;=15,"High",IF(G17&gt;=8,"Medium","Low")))</f>
        <v>-</v>
      </c>
      <c r="I17" s="27"/>
      <c r="J17" s="27"/>
      <c r="K17" s="27"/>
    </row>
    <row r="18" customFormat="false" ht="30" hidden="false" customHeight="true" outlineLevel="0" collapsed="false">
      <c r="B18" s="38" t="n">
        <v>13</v>
      </c>
      <c r="C18" s="27"/>
      <c r="D18" s="27"/>
      <c r="E18" s="42"/>
      <c r="F18" s="42"/>
      <c r="G18" s="40" t="str">
        <f aca="false">IF(OR(E18="",F18=""),"-",E18*F18)</f>
        <v>-</v>
      </c>
      <c r="H18" s="40" t="str">
        <f aca="false">IF(G18="-","-",IF(G18&gt;=15,"High",IF(G18&gt;=8,"Medium","Low")))</f>
        <v>-</v>
      </c>
      <c r="I18" s="27"/>
      <c r="J18" s="27"/>
      <c r="K18" s="27"/>
    </row>
    <row r="19" customFormat="false" ht="30" hidden="false" customHeight="true" outlineLevel="0" collapsed="false">
      <c r="B19" s="38" t="n">
        <v>14</v>
      </c>
      <c r="C19" s="27"/>
      <c r="D19" s="27"/>
      <c r="E19" s="42"/>
      <c r="F19" s="42"/>
      <c r="G19" s="40" t="str">
        <f aca="false">IF(OR(E19="",F19=""),"-",E19*F19)</f>
        <v>-</v>
      </c>
      <c r="H19" s="40" t="str">
        <f aca="false">IF(G19="-","-",IF(G19&gt;=15,"High",IF(G19&gt;=8,"Medium","Low")))</f>
        <v>-</v>
      </c>
      <c r="I19" s="27"/>
      <c r="J19" s="27"/>
      <c r="K19" s="27"/>
    </row>
    <row r="20" customFormat="false" ht="30" hidden="false" customHeight="true" outlineLevel="0" collapsed="false">
      <c r="B20" s="38" t="n">
        <v>15</v>
      </c>
      <c r="C20" s="27"/>
      <c r="D20" s="27"/>
      <c r="E20" s="42"/>
      <c r="F20" s="42"/>
      <c r="G20" s="40" t="str">
        <f aca="false">IF(OR(E20="",F20=""),"-",E20*F20)</f>
        <v>-</v>
      </c>
      <c r="H20" s="40" t="str">
        <f aca="false">IF(G20="-","-",IF(G20&gt;=15,"High",IF(G20&gt;=8,"Medium","Low")))</f>
        <v>-</v>
      </c>
      <c r="I20" s="27"/>
      <c r="J20" s="27"/>
      <c r="K20" s="27"/>
    </row>
    <row r="22" customFormat="false" ht="27.75" hidden="false" customHeight="true" outlineLevel="0" collapsed="false">
      <c r="C22" s="43" t="s">
        <v>359</v>
      </c>
      <c r="D22" s="43"/>
      <c r="E22" s="43"/>
      <c r="F22" s="43"/>
      <c r="G22" s="40" t="n">
        <f aca="false">COUNTIF(H6:H20,"High")</f>
        <v>0</v>
      </c>
    </row>
    <row r="23" customFormat="false" ht="27.75" hidden="false" customHeight="true" outlineLevel="0" collapsed="false">
      <c r="C23" s="43" t="s">
        <v>360</v>
      </c>
      <c r="D23" s="43"/>
      <c r="E23" s="43"/>
      <c r="F23" s="43"/>
      <c r="G23" s="40" t="n">
        <f aca="false">COUNTIF(H6:H20,"Medium")</f>
        <v>0</v>
      </c>
    </row>
    <row r="24" customFormat="false" ht="27.75" hidden="false" customHeight="true" outlineLevel="0" collapsed="false">
      <c r="C24" s="43" t="s">
        <v>361</v>
      </c>
      <c r="D24" s="43"/>
      <c r="E24" s="43"/>
      <c r="F24" s="43"/>
      <c r="G24" s="40" t="n">
        <f aca="false">COUNTIF(H6:H20,"Low")</f>
        <v>0</v>
      </c>
    </row>
    <row r="25" customFormat="false" ht="27.75" hidden="false" customHeight="true" outlineLevel="0" collapsed="false">
      <c r="C25" s="43" t="s">
        <v>362</v>
      </c>
      <c r="D25" s="43"/>
      <c r="E25" s="43"/>
      <c r="F25" s="43"/>
      <c r="G25" s="40" t="n">
        <f aca="false">COUNT(G6:G20)</f>
        <v>0</v>
      </c>
    </row>
    <row r="27" customFormat="false" ht="30" hidden="false" customHeight="true" outlineLevel="0" collapsed="false">
      <c r="C27" s="44" t="s">
        <v>363</v>
      </c>
      <c r="D27" s="44"/>
      <c r="E27" s="44"/>
      <c r="F27" s="44"/>
      <c r="G27" s="45"/>
      <c r="H27" s="45"/>
      <c r="I27" s="46" t="s">
        <v>364</v>
      </c>
      <c r="J27" s="46"/>
      <c r="K27" s="46"/>
    </row>
  </sheetData>
  <mergeCells count="9">
    <mergeCell ref="B2:K2"/>
    <mergeCell ref="B3:K3"/>
    <mergeCell ref="C22:F22"/>
    <mergeCell ref="C23:F23"/>
    <mergeCell ref="C24:F24"/>
    <mergeCell ref="C25:F25"/>
    <mergeCell ref="C27:F27"/>
    <mergeCell ref="G27:H27"/>
    <mergeCell ref="I27:K27"/>
  </mergeCells>
  <conditionalFormatting sqref="H6:H20">
    <cfRule type="cellIs" priority="2" operator="equal" aboveAverage="0" equalAverage="0" bottom="0" percent="0" rank="0" text="" dxfId="1">
      <formula>"High"</formula>
    </cfRule>
    <cfRule type="cellIs" priority="3" operator="equal" aboveAverage="0" equalAverage="0" bottom="0" percent="0" rank="0" text="" dxfId="5">
      <formula>"Medium"</formula>
    </cfRule>
    <cfRule type="cellIs" priority="4" operator="equal" aboveAverage="0" equalAverage="0" bottom="0" percent="0" rank="0" text="" dxfId="0">
      <formula>"Low"</formula>
    </cfRule>
  </conditionalFormatting>
  <dataValidations count="2">
    <dataValidation allowBlank="false" error="Enter a whole number from 1 to 5" errorStyle="stop" operator="between" showDropDown="false" showErrorMessage="true" showInputMessage="false" sqref="E6:F20" type="whole">
      <formula1>1</formula1>
      <formula2>5</formula2>
    </dataValidation>
    <dataValidation allowBlank="true" errorStyle="stop" operator="between" showDropDown="false" showErrorMessage="false" showInputMessage="false" sqref="K6:K20" type="list">
      <formula1>"Open,Mitigating,Closed"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H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9"/>
    <col collapsed="false" customWidth="true" hidden="false" outlineLevel="0" max="3" min="3" style="0" width="62"/>
    <col collapsed="false" customWidth="true" hidden="false" outlineLevel="0" max="7" min="4" style="0" width="20"/>
    <col collapsed="false" customWidth="true" hidden="false" outlineLevel="0" max="8" min="8" style="0" width="24"/>
  </cols>
  <sheetData>
    <row r="2" customFormat="false" ht="43.5" hidden="false" customHeight="true" outlineLevel="0" collapsed="false">
      <c r="B2" s="19" t="s">
        <v>365</v>
      </c>
      <c r="C2" s="19"/>
      <c r="D2" s="19"/>
      <c r="E2" s="19"/>
      <c r="F2" s="19"/>
      <c r="G2" s="19"/>
      <c r="H2" s="19"/>
    </row>
    <row r="3" customFormat="false" ht="48" hidden="false" customHeight="true" outlineLevel="0" collapsed="false">
      <c r="B3" s="20" t="s">
        <v>366</v>
      </c>
      <c r="C3" s="20"/>
      <c r="D3" s="20"/>
      <c r="E3" s="20"/>
      <c r="F3" s="20"/>
      <c r="G3" s="20"/>
      <c r="H3" s="20"/>
    </row>
    <row r="5" customFormat="false" ht="30" hidden="false" customHeight="true" outlineLevel="0" collapsed="false">
      <c r="B5" s="7" t="s">
        <v>367</v>
      </c>
      <c r="C5" s="7"/>
      <c r="D5" s="7"/>
      <c r="E5" s="7"/>
      <c r="F5" s="7"/>
      <c r="G5" s="7"/>
      <c r="H5" s="7"/>
    </row>
    <row r="6" customFormat="false" ht="57.75" hidden="false" customHeight="true" outlineLevel="0" collapsed="false">
      <c r="B6" s="9" t="s">
        <v>69</v>
      </c>
      <c r="C6" s="9" t="s">
        <v>70</v>
      </c>
      <c r="D6" s="9" t="s">
        <v>368</v>
      </c>
      <c r="E6" s="9"/>
      <c r="F6" s="9"/>
      <c r="G6" s="9"/>
      <c r="H6" s="9" t="s">
        <v>369</v>
      </c>
    </row>
    <row r="7" customFormat="false" ht="57.75" hidden="false" customHeight="true" outlineLevel="0" collapsed="false">
      <c r="B7" s="47" t="s">
        <v>370</v>
      </c>
      <c r="C7" s="48" t="s">
        <v>74</v>
      </c>
      <c r="D7" s="49" t="str">
        <f aca="false">IF(COUNTIF('3. Internal Audit'!D12:F12,"&gt;0")=3,"YES – Internal audit in all 3 years ("&amp;'3. Internal Audit'!H12&amp;" reports)",IF(COUNTIF('3. Internal Audit'!D12:F12,"&gt;0")&gt;0,"PARTIAL – Internal audit in "&amp;COUNTIF('3. Internal Audit'!D12:F12,"&gt;0")&amp;" of 3 years","NO – No internal audit recorded"))</f>
        <v>NO – No internal audit recorded</v>
      </c>
      <c r="E7" s="49"/>
      <c r="F7" s="49"/>
      <c r="G7" s="49"/>
      <c r="H7" s="50" t="s">
        <v>371</v>
      </c>
    </row>
    <row r="8" customFormat="false" ht="57.75" hidden="false" customHeight="true" outlineLevel="0" collapsed="false">
      <c r="B8" s="47" t="s">
        <v>372</v>
      </c>
      <c r="C8" s="48" t="s">
        <v>78</v>
      </c>
      <c r="D8" s="49" t="str">
        <f aca="false">IF(COUNT('4. Statutory &amp; External Audit'!D10:F10)=3,"YES – Statutory audit in all 3 years (latest opinion: "&amp;IF('4. Statutory &amp; External Audit'!D12="","not entered",'4. Statutory &amp; External Audit'!D12)&amp;")",IF(COUNT('4. Statutory &amp; External Audit'!D10:F10)&gt;0,"PARTIAL – Audit report dated for "&amp;COUNT('4. Statutory &amp; External Audit'!D10:F10)&amp;" of 3 years","NO – No audit report date recorded"))</f>
        <v>NO – No audit report date recorded</v>
      </c>
      <c r="E8" s="49"/>
      <c r="F8" s="49"/>
      <c r="G8" s="49"/>
      <c r="H8" s="50" t="s">
        <v>373</v>
      </c>
    </row>
    <row r="9" customFormat="false" ht="57.75" hidden="false" customHeight="true" outlineLevel="0" collapsed="false">
      <c r="B9" s="47" t="s">
        <v>374</v>
      </c>
      <c r="C9" s="48" t="s">
        <v>82</v>
      </c>
      <c r="D9" s="49" t="str">
        <f aca="false">IF('5. Risk Mgmt Approaches'!D18&gt;=6,"YES – "&amp;'5. Risk Mgmt Approaches'!D18&amp;" of 12 approaches implemented (FY 2025-26)",IF('5. Risk Mgmt Approaches'!D18&gt;0,"PARTIAL – "&amp;'5. Risk Mgmt Approaches'!D18&amp;" of 12 approaches implemented","NO – No approach implemented"))</f>
        <v>NO – No approach implemented</v>
      </c>
      <c r="E9" s="49"/>
      <c r="F9" s="49"/>
      <c r="G9" s="49"/>
      <c r="H9" s="50" t="s">
        <v>375</v>
      </c>
    </row>
    <row r="10" customFormat="false" ht="33.75" hidden="false" customHeight="true" outlineLevel="0" collapsed="false">
      <c r="B10" s="51"/>
      <c r="C10" s="52" t="s">
        <v>376</v>
      </c>
      <c r="D10" s="53" t="str">
        <f aca="false">(LEFT(D7,3)="YES")+(LEFT(D8,3)="YES")+(LEFT(D9,3)="YES")&amp;" of 3"</f>
        <v>0 of 3</v>
      </c>
      <c r="E10" s="53"/>
      <c r="F10" s="53"/>
      <c r="G10" s="53"/>
      <c r="H10" s="51"/>
    </row>
    <row r="12" customFormat="false" ht="30" hidden="false" customHeight="true" outlineLevel="0" collapsed="false">
      <c r="B12" s="7" t="s">
        <v>377</v>
      </c>
      <c r="C12" s="7"/>
      <c r="D12" s="7"/>
      <c r="E12" s="7"/>
      <c r="F12" s="7"/>
      <c r="G12" s="7"/>
      <c r="H12" s="7"/>
    </row>
    <row r="13" customFormat="false" ht="57.75" hidden="false" customHeight="true" outlineLevel="0" collapsed="false">
      <c r="B13" s="9" t="s">
        <v>136</v>
      </c>
      <c r="C13" s="9" t="s">
        <v>137</v>
      </c>
      <c r="D13" s="9" t="s">
        <v>188</v>
      </c>
      <c r="E13" s="9" t="s">
        <v>189</v>
      </c>
      <c r="F13" s="9" t="s">
        <v>190</v>
      </c>
      <c r="G13" s="9" t="s">
        <v>191</v>
      </c>
      <c r="H13" s="9" t="s">
        <v>192</v>
      </c>
    </row>
    <row r="14" customFormat="false" ht="30" hidden="false" customHeight="true" outlineLevel="0" collapsed="false">
      <c r="B14" s="24" t="s">
        <v>281</v>
      </c>
      <c r="C14" s="10" t="s">
        <v>378</v>
      </c>
      <c r="D14" s="54" t="str">
        <f aca="false">IF('3. Internal Audit'!D7="","-",'3. Internal Audit'!D7)</f>
        <v>-</v>
      </c>
      <c r="E14" s="54" t="str">
        <f aca="false">IF('3. Internal Audit'!E7="","-",'3. Internal Audit'!E7)</f>
        <v>-</v>
      </c>
      <c r="F14" s="54" t="str">
        <f aca="false">IF('3. Internal Audit'!F7="","-",'3. Internal Audit'!F7)</f>
        <v>-</v>
      </c>
      <c r="G14" s="54" t="str">
        <f aca="false">IF('3. Internal Audit'!G7="","-",'3. Internal Audit'!G7)</f>
        <v>-</v>
      </c>
      <c r="H14" s="55" t="s">
        <v>379</v>
      </c>
    </row>
    <row r="15" customFormat="false" ht="30" hidden="false" customHeight="true" outlineLevel="0" collapsed="false">
      <c r="B15" s="24" t="s">
        <v>283</v>
      </c>
      <c r="C15" s="10" t="s">
        <v>380</v>
      </c>
      <c r="D15" s="54" t="str">
        <f aca="false">IF('3. Internal Audit'!D10="","-",'3. Internal Audit'!D10)</f>
        <v>-</v>
      </c>
      <c r="E15" s="54" t="str">
        <f aca="false">IF('3. Internal Audit'!E10="","-",'3. Internal Audit'!E10)</f>
        <v>-</v>
      </c>
      <c r="F15" s="54" t="str">
        <f aca="false">IF('3. Internal Audit'!F10="","-",'3. Internal Audit'!F10)</f>
        <v>-</v>
      </c>
      <c r="G15" s="54" t="str">
        <f aca="false">IF('3. Internal Audit'!G10="","-",'3. Internal Audit'!G10)</f>
        <v>-</v>
      </c>
      <c r="H15" s="55" t="s">
        <v>379</v>
      </c>
    </row>
    <row r="16" customFormat="false" ht="30" hidden="false" customHeight="true" outlineLevel="0" collapsed="false">
      <c r="B16" s="24" t="s">
        <v>285</v>
      </c>
      <c r="C16" s="32" t="s">
        <v>381</v>
      </c>
      <c r="D16" s="56" t="n">
        <f aca="false">N('3. Internal Audit'!D12)</f>
        <v>0</v>
      </c>
      <c r="E16" s="56" t="n">
        <f aca="false">N('3. Internal Audit'!E12)</f>
        <v>0</v>
      </c>
      <c r="F16" s="56" t="n">
        <f aca="false">N('3. Internal Audit'!F12)</f>
        <v>0</v>
      </c>
      <c r="G16" s="56" t="n">
        <f aca="false">N('3. Internal Audit'!G12)</f>
        <v>0</v>
      </c>
      <c r="H16" s="57" t="n">
        <f aca="false">SUM(D16:F16)</f>
        <v>0</v>
      </c>
    </row>
    <row r="17" customFormat="false" ht="30" hidden="false" customHeight="true" outlineLevel="0" collapsed="false">
      <c r="B17" s="24" t="s">
        <v>287</v>
      </c>
      <c r="C17" s="10" t="s">
        <v>382</v>
      </c>
      <c r="D17" s="58" t="n">
        <f aca="false">N('3. Internal Audit'!D13)</f>
        <v>0</v>
      </c>
      <c r="E17" s="58" t="n">
        <f aca="false">N('3. Internal Audit'!E13)</f>
        <v>0</v>
      </c>
      <c r="F17" s="58" t="n">
        <f aca="false">N('3. Internal Audit'!F13)</f>
        <v>0</v>
      </c>
      <c r="G17" s="58" t="n">
        <f aca="false">N('3. Internal Audit'!G13)</f>
        <v>0</v>
      </c>
      <c r="H17" s="59" t="n">
        <f aca="false">SUM(D17:F17)</f>
        <v>0</v>
      </c>
    </row>
    <row r="18" customFormat="false" ht="30" hidden="false" customHeight="true" outlineLevel="0" collapsed="false">
      <c r="B18" s="24" t="s">
        <v>289</v>
      </c>
      <c r="C18" s="10" t="s">
        <v>383</v>
      </c>
      <c r="D18" s="58" t="n">
        <f aca="false">N('3. Internal Audit'!D14)</f>
        <v>0</v>
      </c>
      <c r="E18" s="58" t="n">
        <f aca="false">N('3. Internal Audit'!E14)</f>
        <v>0</v>
      </c>
      <c r="F18" s="58" t="n">
        <f aca="false">N('3. Internal Audit'!F14)</f>
        <v>0</v>
      </c>
      <c r="G18" s="58" t="n">
        <f aca="false">N('3. Internal Audit'!G14)</f>
        <v>0</v>
      </c>
      <c r="H18" s="59" t="n">
        <f aca="false">SUM(D18:F18)</f>
        <v>0</v>
      </c>
    </row>
    <row r="19" customFormat="false" ht="30" hidden="false" customHeight="true" outlineLevel="0" collapsed="false">
      <c r="B19" s="24" t="s">
        <v>384</v>
      </c>
      <c r="C19" s="32" t="s">
        <v>385</v>
      </c>
      <c r="D19" s="34" t="str">
        <f aca="false">IF(D17=0,"-",D18/D17)</f>
        <v>-</v>
      </c>
      <c r="E19" s="34" t="str">
        <f aca="false">IF(E17=0,"-",E18/E17)</f>
        <v>-</v>
      </c>
      <c r="F19" s="34" t="str">
        <f aca="false">IF(F17=0,"-",F18/F17)</f>
        <v>-</v>
      </c>
      <c r="G19" s="34" t="str">
        <f aca="false">IF(G17=0,"-",G18/G17)</f>
        <v>-</v>
      </c>
      <c r="H19" s="60" t="str">
        <f aca="false">IF(H17=0,"-",H18/H17)</f>
        <v>-</v>
      </c>
    </row>
    <row r="20" customFormat="false" ht="30" hidden="false" customHeight="true" outlineLevel="0" collapsed="false">
      <c r="B20" s="24" t="s">
        <v>386</v>
      </c>
      <c r="C20" s="10" t="s">
        <v>387</v>
      </c>
      <c r="D20" s="61" t="n">
        <f aca="false">'3. Internal Audit'!D34</f>
        <v>0</v>
      </c>
      <c r="E20" s="61" t="n">
        <f aca="false">'3. Internal Audit'!E34</f>
        <v>0</v>
      </c>
      <c r="F20" s="61" t="n">
        <f aca="false">'3. Internal Audit'!F34</f>
        <v>0</v>
      </c>
      <c r="G20" s="61" t="n">
        <f aca="false">'3. Internal Audit'!G34</f>
        <v>0</v>
      </c>
      <c r="H20" s="62" t="s">
        <v>379</v>
      </c>
    </row>
    <row r="21" customFormat="false" ht="30" hidden="false" customHeight="true" outlineLevel="0" collapsed="false">
      <c r="B21" s="24" t="s">
        <v>388</v>
      </c>
      <c r="C21" s="10" t="s">
        <v>389</v>
      </c>
      <c r="D21" s="54" t="str">
        <f aca="false">IF('3. Internal Audit'!D17="","-",'3. Internal Audit'!D17)</f>
        <v>-</v>
      </c>
      <c r="E21" s="54" t="str">
        <f aca="false">IF('3. Internal Audit'!E17="","-",'3. Internal Audit'!E17)</f>
        <v>-</v>
      </c>
      <c r="F21" s="54" t="str">
        <f aca="false">IF('3. Internal Audit'!F17="","-",'3. Internal Audit'!F17)</f>
        <v>-</v>
      </c>
      <c r="G21" s="54" t="str">
        <f aca="false">IF('3. Internal Audit'!G17="","-",'3. Internal Audit'!G17)</f>
        <v>-</v>
      </c>
      <c r="H21" s="55" t="s">
        <v>379</v>
      </c>
    </row>
    <row r="22" customFormat="false" ht="49.5" hidden="false" customHeight="true" outlineLevel="0" collapsed="false">
      <c r="B22" s="24" t="s">
        <v>390</v>
      </c>
      <c r="C22" s="10" t="s">
        <v>391</v>
      </c>
      <c r="D22" s="63" t="str">
        <f aca="false">IF(D19="-","Enter data",IF(D19&gt;=0.9,"Strong (≥ 90% closure)",IF(D19&gt;=0.75,"Adequate (75–89%)","Needs attention (&lt; 75%)")))</f>
        <v>Enter data</v>
      </c>
      <c r="E22" s="63" t="str">
        <f aca="false">IF(E19="-","Enter data",IF(E19&gt;=0.9,"Strong (≥ 90% closure)",IF(E19&gt;=0.75,"Adequate (75–89%)","Needs attention (&lt; 75%)")))</f>
        <v>Enter data</v>
      </c>
      <c r="F22" s="63" t="str">
        <f aca="false">IF(F19="-","Enter data",IF(F19&gt;=0.9,"Strong (≥ 90% closure)",IF(F19&gt;=0.75,"Adequate (75–89%)","Needs attention (&lt; 75%)")))</f>
        <v>Enter data</v>
      </c>
      <c r="G22" s="63" t="str">
        <f aca="false">IF(G19="-","Enter data",IF(G19&gt;=0.9,"Strong (≥ 90% closure)",IF(G19&gt;=0.75,"Adequate (75–89%)","Needs attention (&lt; 75%)")))</f>
        <v>Enter data</v>
      </c>
      <c r="H22" s="23"/>
    </row>
    <row r="24" customFormat="false" ht="30" hidden="false" customHeight="true" outlineLevel="0" collapsed="false">
      <c r="B24" s="7" t="s">
        <v>392</v>
      </c>
      <c r="C24" s="7"/>
      <c r="D24" s="7"/>
      <c r="E24" s="7"/>
      <c r="F24" s="7"/>
      <c r="G24" s="7"/>
      <c r="H24" s="7"/>
    </row>
    <row r="25" customFormat="false" ht="57.75" hidden="false" customHeight="true" outlineLevel="0" collapsed="false">
      <c r="B25" s="9" t="s">
        <v>136</v>
      </c>
      <c r="C25" s="9" t="s">
        <v>137</v>
      </c>
      <c r="D25" s="9" t="s">
        <v>188</v>
      </c>
      <c r="E25" s="9" t="s">
        <v>189</v>
      </c>
      <c r="F25" s="9" t="s">
        <v>190</v>
      </c>
      <c r="G25" s="9" t="s">
        <v>191</v>
      </c>
      <c r="H25" s="9" t="s">
        <v>192</v>
      </c>
    </row>
    <row r="26" customFormat="false" ht="30" hidden="false" customHeight="true" outlineLevel="0" collapsed="false">
      <c r="B26" s="24" t="s">
        <v>223</v>
      </c>
      <c r="C26" s="32" t="s">
        <v>261</v>
      </c>
      <c r="D26" s="64" t="str">
        <f aca="false">IF('4. Statutory &amp; External Audit'!D10="","-",'4. Statutory &amp; External Audit'!D10)</f>
        <v>-</v>
      </c>
      <c r="E26" s="64" t="str">
        <f aca="false">IF('4. Statutory &amp; External Audit'!E10="","-",'4. Statutory &amp; External Audit'!E10)</f>
        <v>-</v>
      </c>
      <c r="F26" s="64" t="str">
        <f aca="false">IF('4. Statutory &amp; External Audit'!F10="","-",'4. Statutory &amp; External Audit'!F10)</f>
        <v>-</v>
      </c>
      <c r="G26" s="64" t="str">
        <f aca="false">IF('4. Statutory &amp; External Audit'!G10="","-",'4. Statutory &amp; External Audit'!G10)</f>
        <v>-</v>
      </c>
      <c r="H26" s="65" t="s">
        <v>379</v>
      </c>
    </row>
    <row r="27" customFormat="false" ht="30" hidden="false" customHeight="true" outlineLevel="0" collapsed="false">
      <c r="B27" s="24" t="s">
        <v>225</v>
      </c>
      <c r="C27" s="10" t="s">
        <v>393</v>
      </c>
      <c r="D27" s="66" t="str">
        <f aca="false">'4. Statutory &amp; External Audit'!D11</f>
        <v>-</v>
      </c>
      <c r="E27" s="66" t="str">
        <f aca="false">'4. Statutory &amp; External Audit'!E11</f>
        <v>-</v>
      </c>
      <c r="F27" s="66" t="str">
        <f aca="false">'4. Statutory &amp; External Audit'!F11</f>
        <v>-</v>
      </c>
      <c r="G27" s="66" t="str">
        <f aca="false">'4. Statutory &amp; External Audit'!G11</f>
        <v>-</v>
      </c>
      <c r="H27" s="67" t="str">
        <f aca="false">IFERROR(AVERAGE(D27:F27),"-")</f>
        <v>-</v>
      </c>
    </row>
    <row r="28" customFormat="false" ht="30" hidden="false" customHeight="true" outlineLevel="0" collapsed="false">
      <c r="B28" s="24" t="s">
        <v>227</v>
      </c>
      <c r="C28" s="32" t="s">
        <v>151</v>
      </c>
      <c r="D28" s="68" t="str">
        <f aca="false">IF('4. Statutory &amp; External Audit'!D12="","-",'4. Statutory &amp; External Audit'!D12)</f>
        <v>-</v>
      </c>
      <c r="E28" s="68" t="str">
        <f aca="false">IF('4. Statutory &amp; External Audit'!E12="","-",'4. Statutory &amp; External Audit'!E12)</f>
        <v>-</v>
      </c>
      <c r="F28" s="68" t="str">
        <f aca="false">IF('4. Statutory &amp; External Audit'!F12="","-",'4. Statutory &amp; External Audit'!F12)</f>
        <v>-</v>
      </c>
      <c r="G28" s="68" t="str">
        <f aca="false">IF('4. Statutory &amp; External Audit'!G12="","-",'4. Statutory &amp; External Audit'!G12)</f>
        <v>-</v>
      </c>
      <c r="H28" s="69" t="s">
        <v>379</v>
      </c>
    </row>
    <row r="29" customFormat="false" ht="30" hidden="false" customHeight="true" outlineLevel="0" collapsed="false">
      <c r="B29" s="24" t="s">
        <v>229</v>
      </c>
      <c r="C29" s="10" t="s">
        <v>394</v>
      </c>
      <c r="D29" s="58" t="n">
        <f aca="false">N('4. Statutory &amp; External Audit'!D13)</f>
        <v>0</v>
      </c>
      <c r="E29" s="58" t="n">
        <f aca="false">N('4. Statutory &amp; External Audit'!E13)</f>
        <v>0</v>
      </c>
      <c r="F29" s="58" t="n">
        <f aca="false">N('4. Statutory &amp; External Audit'!F13)</f>
        <v>0</v>
      </c>
      <c r="G29" s="58" t="n">
        <f aca="false">N('4. Statutory &amp; External Audit'!G13)</f>
        <v>0</v>
      </c>
      <c r="H29" s="59" t="n">
        <f aca="false">SUM(D29:F29)</f>
        <v>0</v>
      </c>
    </row>
    <row r="30" customFormat="false" ht="30" hidden="false" customHeight="true" outlineLevel="0" collapsed="false">
      <c r="B30" s="24" t="s">
        <v>231</v>
      </c>
      <c r="C30" s="10" t="s">
        <v>395</v>
      </c>
      <c r="D30" s="58" t="n">
        <f aca="false">N('4. Statutory &amp; External Audit'!D14)</f>
        <v>0</v>
      </c>
      <c r="E30" s="58" t="n">
        <f aca="false">N('4. Statutory &amp; External Audit'!E14)</f>
        <v>0</v>
      </c>
      <c r="F30" s="58" t="n">
        <f aca="false">N('4. Statutory &amp; External Audit'!F14)</f>
        <v>0</v>
      </c>
      <c r="G30" s="58" t="n">
        <f aca="false">N('4. Statutory &amp; External Audit'!G14)</f>
        <v>0</v>
      </c>
      <c r="H30" s="59" t="n">
        <f aca="false">SUM(D30:F30)</f>
        <v>0</v>
      </c>
    </row>
    <row r="31" customFormat="false" ht="30" hidden="false" customHeight="true" outlineLevel="0" collapsed="false">
      <c r="B31" s="24" t="s">
        <v>233</v>
      </c>
      <c r="C31" s="32" t="s">
        <v>385</v>
      </c>
      <c r="D31" s="34" t="str">
        <f aca="false">IF(D29=0,"-",D30/D29)</f>
        <v>-</v>
      </c>
      <c r="E31" s="34" t="str">
        <f aca="false">IF(E29=0,"-",E30/E29)</f>
        <v>-</v>
      </c>
      <c r="F31" s="34" t="str">
        <f aca="false">IF(F29=0,"-",F30/F29)</f>
        <v>-</v>
      </c>
      <c r="G31" s="34" t="str">
        <f aca="false">IF(G29=0,"-",G30/G29)</f>
        <v>-</v>
      </c>
      <c r="H31" s="60" t="str">
        <f aca="false">IF(H29=0,"-",H30/H29)</f>
        <v>-</v>
      </c>
    </row>
    <row r="32" customFormat="false" ht="48" hidden="false" customHeight="true" outlineLevel="0" collapsed="false">
      <c r="B32" s="24" t="s">
        <v>235</v>
      </c>
      <c r="C32" s="10" t="s">
        <v>396</v>
      </c>
      <c r="D32" s="70" t="str">
        <f aca="false">IF('4. Statutory &amp; External Audit'!D18="","-",'4. Statutory &amp; External Audit'!D18)</f>
        <v>-</v>
      </c>
      <c r="E32" s="70" t="str">
        <f aca="false">IF('4. Statutory &amp; External Audit'!E18="","-",'4. Statutory &amp; External Audit'!E18)</f>
        <v>-</v>
      </c>
      <c r="F32" s="70" t="str">
        <f aca="false">IF('4. Statutory &amp; External Audit'!F18="","-",'4. Statutory &amp; External Audit'!F18)</f>
        <v>-</v>
      </c>
      <c r="G32" s="70" t="str">
        <f aca="false">IF('4. Statutory &amp; External Audit'!G18="","-",'4. Statutory &amp; External Audit'!G18)</f>
        <v>-</v>
      </c>
      <c r="H32" s="71" t="s">
        <v>379</v>
      </c>
    </row>
    <row r="33" customFormat="false" ht="30" hidden="false" customHeight="true" outlineLevel="0" collapsed="false">
      <c r="B33" s="24" t="s">
        <v>237</v>
      </c>
      <c r="C33" s="10" t="s">
        <v>291</v>
      </c>
      <c r="D33" s="58" t="n">
        <f aca="false">'4. Statutory &amp; External Audit'!D27</f>
        <v>0</v>
      </c>
      <c r="E33" s="58" t="n">
        <f aca="false">'4. Statutory &amp; External Audit'!E27</f>
        <v>0</v>
      </c>
      <c r="F33" s="58" t="n">
        <f aca="false">'4. Statutory &amp; External Audit'!F27</f>
        <v>0</v>
      </c>
      <c r="G33" s="58" t="n">
        <f aca="false">'4. Statutory &amp; External Audit'!G27</f>
        <v>0</v>
      </c>
      <c r="H33" s="59" t="s">
        <v>379</v>
      </c>
    </row>
    <row r="34" customFormat="false" ht="49.5" hidden="false" customHeight="true" outlineLevel="0" collapsed="false">
      <c r="B34" s="24" t="s">
        <v>239</v>
      </c>
      <c r="C34" s="10" t="s">
        <v>397</v>
      </c>
      <c r="D34" s="63" t="str">
        <f aca="false">IF(N(D27)=0,"Enter data",IF(D27&lt;=180,"Timely (≤ 180 days)","Delayed (&gt; 180 days)"))</f>
        <v>Enter data</v>
      </c>
      <c r="E34" s="63" t="str">
        <f aca="false">IF(N(E27)=0,"Enter data",IF(E27&lt;=180,"Timely (≤ 180 days)","Delayed (&gt; 180 days)"))</f>
        <v>Enter data</v>
      </c>
      <c r="F34" s="63" t="str">
        <f aca="false">IF(N(F27)=0,"Enter data",IF(F27&lt;=180,"Timely (≤ 180 days)","Delayed (&gt; 180 days)"))</f>
        <v>Enter data</v>
      </c>
      <c r="G34" s="63" t="str">
        <f aca="false">IF(N(G27)=0,"Enter data",IF(G27&lt;=180,"Timely (≤ 180 days)","Delayed (&gt; 180 days)"))</f>
        <v>Enter data</v>
      </c>
      <c r="H34" s="23"/>
    </row>
    <row r="36" customFormat="false" ht="30" hidden="false" customHeight="true" outlineLevel="0" collapsed="false">
      <c r="B36" s="7" t="s">
        <v>398</v>
      </c>
      <c r="C36" s="7"/>
      <c r="D36" s="7"/>
      <c r="E36" s="7"/>
      <c r="F36" s="7"/>
      <c r="G36" s="7"/>
      <c r="H36" s="7"/>
    </row>
    <row r="37" customFormat="false" ht="57.75" hidden="false" customHeight="true" outlineLevel="0" collapsed="false">
      <c r="B37" s="9" t="s">
        <v>136</v>
      </c>
      <c r="C37" s="9" t="s">
        <v>137</v>
      </c>
      <c r="D37" s="9" t="s">
        <v>188</v>
      </c>
      <c r="E37" s="9" t="s">
        <v>189</v>
      </c>
      <c r="F37" s="9" t="s">
        <v>190</v>
      </c>
      <c r="G37" s="9" t="s">
        <v>191</v>
      </c>
      <c r="H37" s="9" t="s">
        <v>192</v>
      </c>
    </row>
    <row r="38" customFormat="false" ht="30" hidden="false" customHeight="true" outlineLevel="0" collapsed="false">
      <c r="B38" s="24" t="s">
        <v>399</v>
      </c>
      <c r="C38" s="32" t="s">
        <v>400</v>
      </c>
      <c r="D38" s="56" t="n">
        <f aca="false">'5. Risk Mgmt Approaches'!D18</f>
        <v>0</v>
      </c>
      <c r="E38" s="56" t="n">
        <f aca="false">'5. Risk Mgmt Approaches'!E18</f>
        <v>0</v>
      </c>
      <c r="F38" s="56" t="n">
        <f aca="false">'5. Risk Mgmt Approaches'!F18</f>
        <v>0</v>
      </c>
      <c r="G38" s="56" t="n">
        <f aca="false">'5. Risk Mgmt Approaches'!G18</f>
        <v>0</v>
      </c>
      <c r="H38" s="57" t="s">
        <v>379</v>
      </c>
    </row>
    <row r="39" customFormat="false" ht="30" hidden="false" customHeight="true" outlineLevel="0" collapsed="false">
      <c r="B39" s="24" t="s">
        <v>401</v>
      </c>
      <c r="C39" s="10" t="s">
        <v>402</v>
      </c>
      <c r="D39" s="58" t="n">
        <f aca="false">'5. Risk Mgmt Approaches'!D19</f>
        <v>0</v>
      </c>
      <c r="E39" s="58" t="n">
        <f aca="false">'5. Risk Mgmt Approaches'!E19</f>
        <v>0</v>
      </c>
      <c r="F39" s="58" t="n">
        <f aca="false">'5. Risk Mgmt Approaches'!F19</f>
        <v>0</v>
      </c>
      <c r="G39" s="58" t="n">
        <f aca="false">'5. Risk Mgmt Approaches'!G19</f>
        <v>0</v>
      </c>
      <c r="H39" s="59" t="s">
        <v>379</v>
      </c>
    </row>
    <row r="40" customFormat="false" ht="30" hidden="false" customHeight="true" outlineLevel="0" collapsed="false">
      <c r="B40" s="24" t="s">
        <v>403</v>
      </c>
      <c r="C40" s="10" t="s">
        <v>404</v>
      </c>
      <c r="D40" s="54" t="str">
        <f aca="false">IF('5. Risk Mgmt Approaches'!D6="","-",'5. Risk Mgmt Approaches'!D6)</f>
        <v>-</v>
      </c>
      <c r="E40" s="54" t="str">
        <f aca="false">IF('5. Risk Mgmt Approaches'!E6="","-",'5. Risk Mgmt Approaches'!E6)</f>
        <v>-</v>
      </c>
      <c r="F40" s="54" t="str">
        <f aca="false">IF('5. Risk Mgmt Approaches'!F6="","-",'5. Risk Mgmt Approaches'!F6)</f>
        <v>-</v>
      </c>
      <c r="G40" s="54" t="str">
        <f aca="false">IF('5. Risk Mgmt Approaches'!G6="","-",'5. Risk Mgmt Approaches'!G6)</f>
        <v>-</v>
      </c>
      <c r="H40" s="55" t="s">
        <v>379</v>
      </c>
    </row>
    <row r="41" customFormat="false" ht="49.5" hidden="false" customHeight="true" outlineLevel="0" collapsed="false">
      <c r="B41" s="24" t="s">
        <v>405</v>
      </c>
      <c r="C41" s="10" t="s">
        <v>406</v>
      </c>
      <c r="D41" s="63" t="str">
        <f aca="false">IF(D38&gt;=9,"Comprehensive (9–12)",IF(D38&gt;=6,"Established (6–8)",IF(D38&gt;=1,"Developing (1–5)","Not in place")))</f>
        <v>Not in place</v>
      </c>
      <c r="E41" s="63" t="str">
        <f aca="false">IF(E38&gt;=9,"Comprehensive (9–12)",IF(E38&gt;=6,"Established (6–8)",IF(E38&gt;=1,"Developing (1–5)","Not in place")))</f>
        <v>Not in place</v>
      </c>
      <c r="F41" s="63" t="str">
        <f aca="false">IF(F38&gt;=9,"Comprehensive (9–12)",IF(F38&gt;=6,"Established (6–8)",IF(F38&gt;=1,"Developing (1–5)","Not in place")))</f>
        <v>Not in place</v>
      </c>
      <c r="G41" s="63" t="str">
        <f aca="false">IF(G38&gt;=9,"Comprehensive (9–12)",IF(G38&gt;=6,"Established (6–8)",IF(G38&gt;=1,"Developing (1–5)","Not in place")))</f>
        <v>Not in place</v>
      </c>
      <c r="H41" s="23"/>
    </row>
    <row r="43" customFormat="false" ht="57.75" hidden="false" customHeight="true" outlineLevel="0" collapsed="false">
      <c r="B43" s="9" t="s">
        <v>136</v>
      </c>
      <c r="C43" s="9" t="s">
        <v>407</v>
      </c>
      <c r="D43" s="9" t="s">
        <v>408</v>
      </c>
      <c r="E43" s="9"/>
      <c r="F43" s="9"/>
      <c r="G43" s="9"/>
      <c r="H43" s="9"/>
    </row>
    <row r="44" customFormat="false" ht="30" hidden="false" customHeight="true" outlineLevel="0" collapsed="false">
      <c r="B44" s="24" t="s">
        <v>409</v>
      </c>
      <c r="C44" s="10" t="s">
        <v>410</v>
      </c>
      <c r="D44" s="72" t="n">
        <f aca="false">'6. Risk Register'!G22</f>
        <v>0</v>
      </c>
      <c r="E44" s="26"/>
      <c r="F44" s="26"/>
      <c r="G44" s="26"/>
      <c r="H44" s="26"/>
    </row>
    <row r="45" customFormat="false" ht="30" hidden="false" customHeight="true" outlineLevel="0" collapsed="false">
      <c r="B45" s="24" t="s">
        <v>411</v>
      </c>
      <c r="C45" s="10" t="s">
        <v>412</v>
      </c>
      <c r="D45" s="72" t="n">
        <f aca="false">'6. Risk Register'!G23</f>
        <v>0</v>
      </c>
      <c r="E45" s="26"/>
      <c r="F45" s="26"/>
      <c r="G45" s="26"/>
      <c r="H45" s="26"/>
    </row>
    <row r="46" customFormat="false" ht="30" hidden="false" customHeight="true" outlineLevel="0" collapsed="false">
      <c r="B46" s="24" t="s">
        <v>413</v>
      </c>
      <c r="C46" s="10" t="s">
        <v>414</v>
      </c>
      <c r="D46" s="72" t="n">
        <f aca="false">'6. Risk Register'!G24</f>
        <v>0</v>
      </c>
      <c r="E46" s="26"/>
      <c r="F46" s="26"/>
      <c r="G46" s="26"/>
      <c r="H46" s="26"/>
    </row>
    <row r="47" customFormat="false" ht="30" hidden="false" customHeight="true" outlineLevel="0" collapsed="false">
      <c r="B47" s="24" t="s">
        <v>415</v>
      </c>
      <c r="C47" s="32" t="s">
        <v>416</v>
      </c>
      <c r="D47" s="72" t="n">
        <f aca="false">'6. Risk Register'!G25</f>
        <v>0</v>
      </c>
      <c r="E47" s="26"/>
      <c r="F47" s="26"/>
      <c r="G47" s="26"/>
      <c r="H47" s="26"/>
    </row>
    <row r="48" customFormat="false" ht="30" hidden="false" customHeight="true" outlineLevel="0" collapsed="false">
      <c r="B48" s="24" t="s">
        <v>417</v>
      </c>
      <c r="C48" s="10" t="s">
        <v>418</v>
      </c>
      <c r="D48" s="73" t="str">
        <f aca="false">IF('6. Risk Register'!G27="","-",'6. Risk Register'!G27)</f>
        <v>-</v>
      </c>
      <c r="E48" s="26"/>
      <c r="F48" s="26"/>
      <c r="G48" s="26"/>
      <c r="H48" s="26"/>
    </row>
    <row r="50" customFormat="false" ht="30" hidden="false" customHeight="true" outlineLevel="0" collapsed="false">
      <c r="B50" s="7" t="s">
        <v>419</v>
      </c>
      <c r="C50" s="7"/>
      <c r="D50" s="7"/>
      <c r="E50" s="7"/>
      <c r="F50" s="7"/>
      <c r="G50" s="7"/>
      <c r="H50" s="7"/>
    </row>
    <row r="75" customFormat="false" ht="68.25" hidden="false" customHeight="true" outlineLevel="0" collapsed="false">
      <c r="B75" s="20" t="s">
        <v>420</v>
      </c>
      <c r="C75" s="20"/>
      <c r="D75" s="20"/>
      <c r="E75" s="20"/>
      <c r="F75" s="20"/>
      <c r="G75" s="20"/>
      <c r="H75" s="20"/>
    </row>
  </sheetData>
  <mergeCells count="13">
    <mergeCell ref="B2:H2"/>
    <mergeCell ref="B3:H3"/>
    <mergeCell ref="B5:H5"/>
    <mergeCell ref="D6:G6"/>
    <mergeCell ref="D7:G7"/>
    <mergeCell ref="D8:G8"/>
    <mergeCell ref="D9:G9"/>
    <mergeCell ref="D10:G10"/>
    <mergeCell ref="B12:H12"/>
    <mergeCell ref="B24:H24"/>
    <mergeCell ref="B36:H36"/>
    <mergeCell ref="B50:H50"/>
    <mergeCell ref="B75:H75"/>
  </mergeCells>
  <conditionalFormatting sqref="D7">
    <cfRule type="expression" priority="2" aboveAverage="0" equalAverage="0" bottom="0" percent="0" rank="0" text="" dxfId="6">
      <formula>LEFT($D$7,3)="YES"</formula>
    </cfRule>
    <cfRule type="expression" priority="3" aboveAverage="0" equalAverage="0" bottom="0" percent="0" rank="0" text="" dxfId="7">
      <formula>LEFT($D$7,3)="PAR"</formula>
    </cfRule>
    <cfRule type="expression" priority="4" aboveAverage="0" equalAverage="0" bottom="0" percent="0" rank="0" text="" dxfId="8">
      <formula>LEFT($D$7,3)="NO "</formula>
    </cfRule>
  </conditionalFormatting>
  <conditionalFormatting sqref="D8">
    <cfRule type="expression" priority="5" aboveAverage="0" equalAverage="0" bottom="0" percent="0" rank="0" text="" dxfId="6">
      <formula>LEFT($D$8,3)="YES"</formula>
    </cfRule>
    <cfRule type="expression" priority="6" aboveAverage="0" equalAverage="0" bottom="0" percent="0" rank="0" text="" dxfId="7">
      <formula>LEFT($D$8,3)="PAR"</formula>
    </cfRule>
    <cfRule type="expression" priority="7" aboveAverage="0" equalAverage="0" bottom="0" percent="0" rank="0" text="" dxfId="8">
      <formula>LEFT($D$8,3)="NO "</formula>
    </cfRule>
  </conditionalFormatting>
  <conditionalFormatting sqref="D9">
    <cfRule type="expression" priority="8" aboveAverage="0" equalAverage="0" bottom="0" percent="0" rank="0" text="" dxfId="6">
      <formula>LEFT($D$9,3)="YES"</formula>
    </cfRule>
    <cfRule type="expression" priority="9" aboveAverage="0" equalAverage="0" bottom="0" percent="0" rank="0" text="" dxfId="7">
      <formula>LEFT($D$9,3)="PAR"</formula>
    </cfRule>
    <cfRule type="expression" priority="10" aboveAverage="0" equalAverage="0" bottom="0" percent="0" rank="0" text="" dxfId="8">
      <formula>LEFT($D$9,3)="NO "</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9"/>
    <col collapsed="false" customWidth="true" hidden="false" outlineLevel="0" max="3" min="3" style="0" width="58"/>
    <col collapsed="false" customWidth="true" hidden="false" outlineLevel="0" max="7" min="4" style="0" width="20"/>
    <col collapsed="false" customWidth="true" hidden="false" outlineLevel="0" max="8" min="8" style="0" width="18"/>
  </cols>
  <sheetData>
    <row r="2" customFormat="false" ht="39" hidden="false" customHeight="true" outlineLevel="0" collapsed="false">
      <c r="B2" s="74" t="s">
        <v>421</v>
      </c>
      <c r="C2" s="74"/>
      <c r="D2" s="74"/>
      <c r="E2" s="74"/>
      <c r="F2" s="74"/>
      <c r="G2" s="74"/>
      <c r="H2" s="74"/>
    </row>
    <row r="3" customFormat="false" ht="48" hidden="false" customHeight="true" outlineLevel="0" collapsed="false">
      <c r="B3" s="75" t="s">
        <v>422</v>
      </c>
      <c r="C3" s="75"/>
      <c r="D3" s="75"/>
      <c r="E3" s="75"/>
      <c r="F3" s="75"/>
      <c r="G3" s="75"/>
      <c r="H3" s="75"/>
    </row>
    <row r="5" customFormat="false" ht="30" hidden="false" customHeight="true" outlineLevel="0" collapsed="false">
      <c r="B5" s="7" t="s">
        <v>423</v>
      </c>
      <c r="C5" s="7"/>
      <c r="D5" s="7"/>
      <c r="E5" s="7"/>
      <c r="F5" s="7"/>
      <c r="G5" s="7"/>
      <c r="H5" s="7"/>
    </row>
    <row r="6" customFormat="false" ht="57.75" hidden="false" customHeight="true" outlineLevel="0" collapsed="false">
      <c r="B6" s="9" t="s">
        <v>186</v>
      </c>
      <c r="C6" s="9" t="s">
        <v>424</v>
      </c>
      <c r="D6" s="9" t="s">
        <v>188</v>
      </c>
      <c r="E6" s="9" t="s">
        <v>189</v>
      </c>
      <c r="F6" s="9" t="s">
        <v>190</v>
      </c>
      <c r="G6" s="9" t="s">
        <v>191</v>
      </c>
      <c r="H6" s="9" t="s">
        <v>192</v>
      </c>
    </row>
    <row r="7" customFormat="false" ht="30" hidden="false" customHeight="true" outlineLevel="0" collapsed="false">
      <c r="B7" s="24" t="s">
        <v>203</v>
      </c>
      <c r="C7" s="10" t="s">
        <v>380</v>
      </c>
      <c r="D7" s="76" t="s">
        <v>425</v>
      </c>
      <c r="E7" s="76" t="s">
        <v>425</v>
      </c>
      <c r="F7" s="76" t="s">
        <v>425</v>
      </c>
      <c r="G7" s="76" t="s">
        <v>426</v>
      </c>
      <c r="H7" s="26"/>
    </row>
    <row r="8" customFormat="false" ht="30" hidden="false" customHeight="true" outlineLevel="0" collapsed="false">
      <c r="B8" s="24" t="s">
        <v>207</v>
      </c>
      <c r="C8" s="10" t="s">
        <v>427</v>
      </c>
      <c r="D8" s="77" t="n">
        <v>4</v>
      </c>
      <c r="E8" s="77" t="n">
        <v>4</v>
      </c>
      <c r="F8" s="77" t="n">
        <v>4</v>
      </c>
      <c r="G8" s="77" t="n">
        <v>2</v>
      </c>
      <c r="H8" s="31" t="n">
        <f aca="false">SUM(D8:F8)</f>
        <v>12</v>
      </c>
    </row>
    <row r="9" customFormat="false" ht="30" hidden="false" customHeight="true" outlineLevel="0" collapsed="false">
      <c r="B9" s="24" t="s">
        <v>209</v>
      </c>
      <c r="C9" s="10" t="s">
        <v>382</v>
      </c>
      <c r="D9" s="77" t="n">
        <v>38</v>
      </c>
      <c r="E9" s="77" t="n">
        <v>45</v>
      </c>
      <c r="F9" s="77" t="n">
        <v>52</v>
      </c>
      <c r="G9" s="77" t="n">
        <v>40</v>
      </c>
      <c r="H9" s="31" t="n">
        <f aca="false">SUM(D9:F9)</f>
        <v>135</v>
      </c>
    </row>
    <row r="10" customFormat="false" ht="30" hidden="false" customHeight="true" outlineLevel="0" collapsed="false">
      <c r="B10" s="24" t="s">
        <v>211</v>
      </c>
      <c r="C10" s="10" t="s">
        <v>383</v>
      </c>
      <c r="D10" s="77" t="n">
        <v>35</v>
      </c>
      <c r="E10" s="77" t="n">
        <v>40</v>
      </c>
      <c r="F10" s="77" t="n">
        <v>44</v>
      </c>
      <c r="G10" s="77" t="n">
        <v>30</v>
      </c>
      <c r="H10" s="31" t="n">
        <f aca="false">SUM(D10:F10)</f>
        <v>119</v>
      </c>
    </row>
    <row r="11" customFormat="false" ht="30" hidden="false" customHeight="true" outlineLevel="0" collapsed="false">
      <c r="B11" s="24" t="s">
        <v>215</v>
      </c>
      <c r="C11" s="32" t="s">
        <v>428</v>
      </c>
      <c r="D11" s="34" t="n">
        <f aca="false">D10/D9</f>
        <v>0.921052631578947</v>
      </c>
      <c r="E11" s="34" t="n">
        <f aca="false">E10/E9</f>
        <v>0.888888888888889</v>
      </c>
      <c r="F11" s="34" t="n">
        <f aca="false">F10/F9</f>
        <v>0.846153846153846</v>
      </c>
      <c r="G11" s="34" t="n">
        <f aca="false">G10/G9</f>
        <v>0.75</v>
      </c>
      <c r="H11" s="34" t="n">
        <f aca="false">H10/H9</f>
        <v>0.881481481481482</v>
      </c>
    </row>
    <row r="12" customFormat="false" ht="30" hidden="false" customHeight="true" outlineLevel="0" collapsed="false">
      <c r="B12" s="24" t="s">
        <v>221</v>
      </c>
      <c r="C12" s="10" t="s">
        <v>429</v>
      </c>
      <c r="D12" s="77" t="n">
        <v>12</v>
      </c>
      <c r="E12" s="77" t="n">
        <v>11</v>
      </c>
      <c r="F12" s="77" t="n">
        <v>10</v>
      </c>
      <c r="G12" s="77" t="n">
        <v>8</v>
      </c>
      <c r="H12" s="26"/>
    </row>
    <row r="13" customFormat="false" ht="30" hidden="false" customHeight="true" outlineLevel="0" collapsed="false">
      <c r="B13" s="24" t="s">
        <v>248</v>
      </c>
      <c r="C13" s="32" t="s">
        <v>249</v>
      </c>
      <c r="D13" s="34" t="n">
        <f aca="false">D12/12</f>
        <v>1</v>
      </c>
      <c r="E13" s="34" t="n">
        <f aca="false">E12/12</f>
        <v>0.916666666666667</v>
      </c>
      <c r="F13" s="34" t="n">
        <f aca="false">F12/12</f>
        <v>0.833333333333333</v>
      </c>
      <c r="G13" s="34" t="n">
        <f aca="false">G12/12</f>
        <v>0.666666666666667</v>
      </c>
      <c r="H13" s="26"/>
    </row>
    <row r="15" customFormat="false" ht="30" hidden="false" customHeight="true" outlineLevel="0" collapsed="false">
      <c r="B15" s="7" t="s">
        <v>430</v>
      </c>
      <c r="C15" s="7"/>
      <c r="D15" s="7"/>
      <c r="E15" s="7"/>
      <c r="F15" s="7"/>
      <c r="G15" s="7"/>
      <c r="H15" s="7"/>
    </row>
    <row r="16" customFormat="false" ht="57.75" hidden="false" customHeight="true" outlineLevel="0" collapsed="false">
      <c r="B16" s="9" t="s">
        <v>186</v>
      </c>
      <c r="C16" s="9" t="s">
        <v>424</v>
      </c>
      <c r="D16" s="9" t="s">
        <v>188</v>
      </c>
      <c r="E16" s="9" t="s">
        <v>189</v>
      </c>
      <c r="F16" s="9" t="s">
        <v>190</v>
      </c>
      <c r="G16" s="9" t="s">
        <v>191</v>
      </c>
      <c r="H16" s="9" t="s">
        <v>192</v>
      </c>
    </row>
    <row r="17" customFormat="false" ht="30" hidden="false" customHeight="true" outlineLevel="0" collapsed="false">
      <c r="B17" s="24" t="s">
        <v>260</v>
      </c>
      <c r="C17" s="10" t="s">
        <v>431</v>
      </c>
      <c r="D17" s="78" t="n">
        <v>46262</v>
      </c>
      <c r="E17" s="78" t="n">
        <v>45910</v>
      </c>
      <c r="F17" s="78" t="n">
        <v>45560</v>
      </c>
      <c r="G17" s="78" t="n">
        <v>45214</v>
      </c>
      <c r="H17" s="26"/>
    </row>
    <row r="18" customFormat="false" ht="30" hidden="false" customHeight="true" outlineLevel="0" collapsed="false">
      <c r="B18" s="24" t="s">
        <v>262</v>
      </c>
      <c r="C18" s="32" t="s">
        <v>432</v>
      </c>
      <c r="D18" s="36" t="n">
        <f aca="false">D17-DATE(2026,3,31)</f>
        <v>150</v>
      </c>
      <c r="E18" s="36" t="n">
        <f aca="false">E17-DATE(2025,3,31)</f>
        <v>163</v>
      </c>
      <c r="F18" s="36" t="n">
        <f aca="false">F17-DATE(2024,3,31)</f>
        <v>178</v>
      </c>
      <c r="G18" s="36" t="n">
        <f aca="false">G17-DATE(2023,3,31)</f>
        <v>198</v>
      </c>
      <c r="H18" s="26"/>
    </row>
    <row r="19" customFormat="false" ht="30" hidden="false" customHeight="true" outlineLevel="0" collapsed="false">
      <c r="B19" s="24" t="s">
        <v>264</v>
      </c>
      <c r="C19" s="10" t="s">
        <v>151</v>
      </c>
      <c r="D19" s="76" t="s">
        <v>433</v>
      </c>
      <c r="E19" s="76" t="s">
        <v>433</v>
      </c>
      <c r="F19" s="76" t="s">
        <v>433</v>
      </c>
      <c r="G19" s="76" t="s">
        <v>433</v>
      </c>
      <c r="H19" s="26"/>
    </row>
    <row r="20" customFormat="false" ht="30" hidden="false" customHeight="true" outlineLevel="0" collapsed="false">
      <c r="B20" s="24" t="s">
        <v>266</v>
      </c>
      <c r="C20" s="10" t="s">
        <v>382</v>
      </c>
      <c r="D20" s="77" t="n">
        <v>6</v>
      </c>
      <c r="E20" s="77" t="n">
        <v>8</v>
      </c>
      <c r="F20" s="77" t="n">
        <v>10</v>
      </c>
      <c r="G20" s="77" t="n">
        <v>12</v>
      </c>
      <c r="H20" s="31" t="n">
        <f aca="false">SUM(D20:F20)</f>
        <v>24</v>
      </c>
    </row>
    <row r="21" customFormat="false" ht="30" hidden="false" customHeight="true" outlineLevel="0" collapsed="false">
      <c r="B21" s="24" t="s">
        <v>268</v>
      </c>
      <c r="C21" s="10" t="s">
        <v>383</v>
      </c>
      <c r="D21" s="77" t="n">
        <v>6</v>
      </c>
      <c r="E21" s="77" t="n">
        <v>7</v>
      </c>
      <c r="F21" s="77" t="n">
        <v>8</v>
      </c>
      <c r="G21" s="77" t="n">
        <v>8</v>
      </c>
      <c r="H21" s="31" t="n">
        <f aca="false">SUM(D21:F21)</f>
        <v>21</v>
      </c>
    </row>
    <row r="22" customFormat="false" ht="30" hidden="false" customHeight="true" outlineLevel="0" collapsed="false">
      <c r="B22" s="24" t="s">
        <v>272</v>
      </c>
      <c r="C22" s="32" t="s">
        <v>428</v>
      </c>
      <c r="D22" s="34" t="n">
        <f aca="false">D21/D20</f>
        <v>1</v>
      </c>
      <c r="E22" s="34" t="n">
        <f aca="false">E21/E20</f>
        <v>0.875</v>
      </c>
      <c r="F22" s="34" t="n">
        <f aca="false">F21/F20</f>
        <v>0.8</v>
      </c>
      <c r="G22" s="34" t="n">
        <f aca="false">G21/G20</f>
        <v>0.666666666666667</v>
      </c>
      <c r="H22" s="34" t="n">
        <f aca="false">H21/H20</f>
        <v>0.875</v>
      </c>
    </row>
    <row r="24" customFormat="false" ht="30" hidden="false" customHeight="true" outlineLevel="0" collapsed="false">
      <c r="B24" s="7" t="s">
        <v>434</v>
      </c>
      <c r="C24" s="7"/>
      <c r="D24" s="7"/>
      <c r="E24" s="7"/>
      <c r="F24" s="7"/>
      <c r="G24" s="7"/>
      <c r="H24" s="7"/>
    </row>
    <row r="25" customFormat="false" ht="57.75" hidden="false" customHeight="true" outlineLevel="0" collapsed="false">
      <c r="B25" s="9" t="s">
        <v>186</v>
      </c>
      <c r="C25" s="9" t="s">
        <v>424</v>
      </c>
      <c r="D25" s="9" t="s">
        <v>188</v>
      </c>
      <c r="E25" s="9" t="s">
        <v>189</v>
      </c>
      <c r="F25" s="9" t="s">
        <v>190</v>
      </c>
      <c r="G25" s="9" t="s">
        <v>191</v>
      </c>
      <c r="H25" s="9" t="s">
        <v>192</v>
      </c>
    </row>
    <row r="26" customFormat="false" ht="30" hidden="false" customHeight="true" outlineLevel="0" collapsed="false">
      <c r="B26" s="24" t="s">
        <v>399</v>
      </c>
      <c r="C26" s="32" t="s">
        <v>400</v>
      </c>
      <c r="D26" s="79" t="n">
        <v>11</v>
      </c>
      <c r="E26" s="79" t="n">
        <v>9</v>
      </c>
      <c r="F26" s="79" t="n">
        <v>7</v>
      </c>
      <c r="G26" s="79" t="n">
        <v>4</v>
      </c>
      <c r="H26" s="26"/>
    </row>
    <row r="27" customFormat="false" ht="39.75" hidden="false" customHeight="true" outlineLevel="0" collapsed="false">
      <c r="B27" s="24" t="s">
        <v>405</v>
      </c>
      <c r="C27" s="10" t="s">
        <v>435</v>
      </c>
      <c r="D27" s="63" t="str">
        <f aca="false">IF(D26&gt;=9,"Comprehensive",IF(D26&gt;=6,"Established",IF(D26&gt;=1,"Developing","Not in place")))</f>
        <v>Comprehensive</v>
      </c>
      <c r="E27" s="63" t="str">
        <f aca="false">IF(E26&gt;=9,"Comprehensive",IF(E26&gt;=6,"Established",IF(E26&gt;=1,"Developing","Not in place")))</f>
        <v>Comprehensive</v>
      </c>
      <c r="F27" s="63" t="str">
        <f aca="false">IF(F26&gt;=9,"Comprehensive",IF(F26&gt;=6,"Established",IF(F26&gt;=1,"Developing","Not in place")))</f>
        <v>Established</v>
      </c>
      <c r="G27" s="63" t="str">
        <f aca="false">IF(G26&gt;=9,"Comprehensive",IF(G26&gt;=6,"Established",IF(G26&gt;=1,"Developing","Not in place")))</f>
        <v>Developing</v>
      </c>
      <c r="H27" s="26"/>
    </row>
    <row r="29" customFormat="false" ht="30" hidden="false" customHeight="true" outlineLevel="0" collapsed="false">
      <c r="B29" s="7" t="s">
        <v>436</v>
      </c>
      <c r="C29" s="7"/>
      <c r="D29" s="7"/>
      <c r="E29" s="7"/>
      <c r="F29" s="7"/>
      <c r="G29" s="7"/>
      <c r="H29" s="7"/>
    </row>
    <row r="30" customFormat="false" ht="170.25" hidden="false" customHeight="true" outlineLevel="0" collapsed="false">
      <c r="B30" s="8" t="s">
        <v>437</v>
      </c>
      <c r="C30" s="8"/>
      <c r="D30" s="8"/>
      <c r="E30" s="8"/>
      <c r="F30" s="8"/>
      <c r="G30" s="8"/>
      <c r="H30" s="8"/>
    </row>
  </sheetData>
  <mergeCells count="7">
    <mergeCell ref="B2:H2"/>
    <mergeCell ref="B3:H3"/>
    <mergeCell ref="B5:H5"/>
    <mergeCell ref="B15:H15"/>
    <mergeCell ref="B24:H24"/>
    <mergeCell ref="B29:H29"/>
    <mergeCell ref="B30:H3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J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7"/>
    <col collapsed="false" customWidth="true" hidden="false" outlineLevel="0" max="3" min="3" style="0" width="48"/>
    <col collapsed="false" customWidth="true" hidden="false" outlineLevel="0" max="4" min="4" style="0" width="40"/>
    <col collapsed="false" customWidth="true" hidden="false" outlineLevel="0" max="8" min="5" style="0" width="15"/>
    <col collapsed="false" customWidth="true" hidden="false" outlineLevel="0" max="9" min="9" style="0" width="24"/>
    <col collapsed="false" customWidth="true" hidden="false" outlineLevel="0" max="10" min="10" style="0" width="30"/>
  </cols>
  <sheetData>
    <row r="2" customFormat="false" ht="43.5" hidden="false" customHeight="true" outlineLevel="0" collapsed="false">
      <c r="B2" s="19" t="s">
        <v>438</v>
      </c>
      <c r="C2" s="19"/>
      <c r="D2" s="19"/>
      <c r="E2" s="19"/>
      <c r="F2" s="19"/>
      <c r="G2" s="19"/>
      <c r="H2" s="19"/>
      <c r="I2" s="19"/>
      <c r="J2" s="19"/>
    </row>
    <row r="3" customFormat="false" ht="48" hidden="false" customHeight="true" outlineLevel="0" collapsed="false">
      <c r="B3" s="20" t="s">
        <v>439</v>
      </c>
      <c r="C3" s="20"/>
      <c r="D3" s="20"/>
      <c r="E3" s="20"/>
      <c r="F3" s="20"/>
      <c r="G3" s="20"/>
      <c r="H3" s="20"/>
      <c r="I3" s="20"/>
      <c r="J3" s="20"/>
    </row>
    <row r="5" customFormat="false" ht="57.75" hidden="false" customHeight="true" outlineLevel="0" collapsed="false">
      <c r="B5" s="9" t="s">
        <v>136</v>
      </c>
      <c r="C5" s="9" t="s">
        <v>440</v>
      </c>
      <c r="D5" s="9" t="s">
        <v>441</v>
      </c>
      <c r="E5" s="9" t="s">
        <v>188</v>
      </c>
      <c r="F5" s="9" t="s">
        <v>189</v>
      </c>
      <c r="G5" s="9" t="s">
        <v>190</v>
      </c>
      <c r="H5" s="9" t="s">
        <v>191</v>
      </c>
      <c r="I5" s="9" t="s">
        <v>442</v>
      </c>
      <c r="J5" s="9" t="s">
        <v>443</v>
      </c>
    </row>
    <row r="6" customFormat="false" ht="68.25" hidden="false" customHeight="true" outlineLevel="0" collapsed="false">
      <c r="B6" s="38" t="n">
        <v>1</v>
      </c>
      <c r="C6" s="10" t="s">
        <v>444</v>
      </c>
      <c r="D6" s="10" t="s">
        <v>445</v>
      </c>
      <c r="E6" s="42" t="s">
        <v>446</v>
      </c>
      <c r="F6" s="42" t="s">
        <v>446</v>
      </c>
      <c r="G6" s="42" t="s">
        <v>446</v>
      </c>
      <c r="H6" s="42" t="s">
        <v>446</v>
      </c>
      <c r="I6" s="10" t="s">
        <v>330</v>
      </c>
      <c r="J6" s="27"/>
    </row>
    <row r="7" customFormat="false" ht="48" hidden="false" customHeight="true" outlineLevel="0" collapsed="false">
      <c r="B7" s="38" t="n">
        <v>2</v>
      </c>
      <c r="C7" s="10" t="s">
        <v>447</v>
      </c>
      <c r="D7" s="10" t="s">
        <v>448</v>
      </c>
      <c r="E7" s="42" t="s">
        <v>446</v>
      </c>
      <c r="F7" s="42" t="s">
        <v>446</v>
      </c>
      <c r="G7" s="42" t="s">
        <v>446</v>
      </c>
      <c r="H7" s="42" t="s">
        <v>446</v>
      </c>
      <c r="I7" s="10" t="s">
        <v>54</v>
      </c>
      <c r="J7" s="27"/>
    </row>
    <row r="8" customFormat="false" ht="48" hidden="false" customHeight="true" outlineLevel="0" collapsed="false">
      <c r="B8" s="38" t="n">
        <v>3</v>
      </c>
      <c r="C8" s="10" t="s">
        <v>449</v>
      </c>
      <c r="D8" s="10" t="s">
        <v>450</v>
      </c>
      <c r="E8" s="42" t="s">
        <v>446</v>
      </c>
      <c r="F8" s="42" t="s">
        <v>446</v>
      </c>
      <c r="G8" s="42" t="s">
        <v>446</v>
      </c>
      <c r="H8" s="42" t="s">
        <v>446</v>
      </c>
      <c r="I8" s="10" t="s">
        <v>330</v>
      </c>
      <c r="J8" s="27"/>
    </row>
    <row r="9" customFormat="false" ht="27.75" hidden="false" customHeight="true" outlineLevel="0" collapsed="false">
      <c r="B9" s="38" t="n">
        <v>4</v>
      </c>
      <c r="C9" s="10" t="s">
        <v>451</v>
      </c>
      <c r="D9" s="10" t="s">
        <v>452</v>
      </c>
      <c r="E9" s="42" t="s">
        <v>446</v>
      </c>
      <c r="F9" s="42" t="s">
        <v>446</v>
      </c>
      <c r="G9" s="42" t="s">
        <v>446</v>
      </c>
      <c r="H9" s="42" t="s">
        <v>446</v>
      </c>
      <c r="I9" s="10" t="s">
        <v>110</v>
      </c>
      <c r="J9" s="27"/>
    </row>
    <row r="10" customFormat="false" ht="48" hidden="false" customHeight="true" outlineLevel="0" collapsed="false">
      <c r="B10" s="38" t="n">
        <v>5</v>
      </c>
      <c r="C10" s="10" t="s">
        <v>453</v>
      </c>
      <c r="D10" s="10" t="s">
        <v>454</v>
      </c>
      <c r="E10" s="42" t="s">
        <v>446</v>
      </c>
      <c r="F10" s="42" t="s">
        <v>446</v>
      </c>
      <c r="G10" s="42" t="s">
        <v>446</v>
      </c>
      <c r="H10" s="42" t="s">
        <v>446</v>
      </c>
      <c r="I10" s="10" t="s">
        <v>31</v>
      </c>
      <c r="J10" s="27"/>
    </row>
    <row r="11" customFormat="false" ht="48" hidden="false" customHeight="true" outlineLevel="0" collapsed="false">
      <c r="B11" s="38" t="n">
        <v>6</v>
      </c>
      <c r="C11" s="10" t="s">
        <v>455</v>
      </c>
      <c r="D11" s="10" t="s">
        <v>456</v>
      </c>
      <c r="E11" s="42" t="s">
        <v>446</v>
      </c>
      <c r="F11" s="42" t="s">
        <v>446</v>
      </c>
      <c r="G11" s="42" t="s">
        <v>446</v>
      </c>
      <c r="H11" s="42" t="s">
        <v>446</v>
      </c>
      <c r="I11" s="10" t="s">
        <v>457</v>
      </c>
      <c r="J11" s="27"/>
    </row>
    <row r="12" customFormat="false" ht="48" hidden="false" customHeight="true" outlineLevel="0" collapsed="false">
      <c r="B12" s="38" t="n">
        <v>7</v>
      </c>
      <c r="C12" s="10" t="s">
        <v>458</v>
      </c>
      <c r="D12" s="10" t="s">
        <v>459</v>
      </c>
      <c r="E12" s="42" t="s">
        <v>446</v>
      </c>
      <c r="F12" s="42" t="s">
        <v>446</v>
      </c>
      <c r="G12" s="42" t="s">
        <v>446</v>
      </c>
      <c r="H12" s="42" t="s">
        <v>446</v>
      </c>
      <c r="I12" s="10" t="s">
        <v>31</v>
      </c>
      <c r="J12" s="27"/>
    </row>
    <row r="13" customFormat="false" ht="48" hidden="false" customHeight="true" outlineLevel="0" collapsed="false">
      <c r="B13" s="38" t="n">
        <v>8</v>
      </c>
      <c r="C13" s="10" t="s">
        <v>460</v>
      </c>
      <c r="D13" s="10" t="s">
        <v>456</v>
      </c>
      <c r="E13" s="42" t="s">
        <v>446</v>
      </c>
      <c r="F13" s="42" t="s">
        <v>446</v>
      </c>
      <c r="G13" s="42" t="s">
        <v>446</v>
      </c>
      <c r="H13" s="42" t="s">
        <v>446</v>
      </c>
      <c r="I13" s="10" t="s">
        <v>457</v>
      </c>
      <c r="J13" s="27"/>
    </row>
    <row r="14" customFormat="false" ht="48" hidden="false" customHeight="true" outlineLevel="0" collapsed="false">
      <c r="B14" s="38" t="n">
        <v>9</v>
      </c>
      <c r="C14" s="10" t="s">
        <v>461</v>
      </c>
      <c r="D14" s="10" t="s">
        <v>115</v>
      </c>
      <c r="E14" s="42" t="s">
        <v>446</v>
      </c>
      <c r="F14" s="42" t="s">
        <v>446</v>
      </c>
      <c r="G14" s="42" t="s">
        <v>446</v>
      </c>
      <c r="H14" s="42" t="s">
        <v>446</v>
      </c>
      <c r="I14" s="10" t="s">
        <v>345</v>
      </c>
      <c r="J14" s="27"/>
    </row>
    <row r="15" customFormat="false" ht="27.75" hidden="false" customHeight="true" outlineLevel="0" collapsed="false">
      <c r="B15" s="38" t="n">
        <v>10</v>
      </c>
      <c r="C15" s="10" t="s">
        <v>462</v>
      </c>
      <c r="D15" s="10" t="s">
        <v>463</v>
      </c>
      <c r="E15" s="42" t="s">
        <v>446</v>
      </c>
      <c r="F15" s="42" t="s">
        <v>446</v>
      </c>
      <c r="G15" s="42" t="s">
        <v>446</v>
      </c>
      <c r="H15" s="42" t="s">
        <v>446</v>
      </c>
      <c r="I15" s="10" t="s">
        <v>330</v>
      </c>
      <c r="J15" s="27"/>
    </row>
    <row r="16" customFormat="false" ht="48" hidden="false" customHeight="true" outlineLevel="0" collapsed="false">
      <c r="B16" s="38" t="n">
        <v>11</v>
      </c>
      <c r="C16" s="10" t="s">
        <v>464</v>
      </c>
      <c r="D16" s="10" t="s">
        <v>463</v>
      </c>
      <c r="E16" s="42" t="s">
        <v>446</v>
      </c>
      <c r="F16" s="42" t="s">
        <v>446</v>
      </c>
      <c r="G16" s="42" t="s">
        <v>446</v>
      </c>
      <c r="H16" s="42" t="s">
        <v>446</v>
      </c>
      <c r="I16" s="10" t="s">
        <v>465</v>
      </c>
      <c r="J16" s="27"/>
    </row>
    <row r="17" customFormat="false" ht="48" hidden="false" customHeight="true" outlineLevel="0" collapsed="false">
      <c r="B17" s="38" t="n">
        <v>12</v>
      </c>
      <c r="C17" s="10" t="s">
        <v>466</v>
      </c>
      <c r="D17" s="10" t="s">
        <v>467</v>
      </c>
      <c r="E17" s="42" t="s">
        <v>446</v>
      </c>
      <c r="F17" s="42" t="s">
        <v>446</v>
      </c>
      <c r="G17" s="42" t="s">
        <v>446</v>
      </c>
      <c r="H17" s="42" t="s">
        <v>446</v>
      </c>
      <c r="I17" s="10" t="s">
        <v>457</v>
      </c>
      <c r="J17" s="27"/>
    </row>
    <row r="18" customFormat="false" ht="48" hidden="false" customHeight="true" outlineLevel="0" collapsed="false">
      <c r="B18" s="38" t="n">
        <v>13</v>
      </c>
      <c r="C18" s="10" t="s">
        <v>468</v>
      </c>
      <c r="D18" s="10" t="s">
        <v>463</v>
      </c>
      <c r="E18" s="42" t="s">
        <v>446</v>
      </c>
      <c r="F18" s="42" t="s">
        <v>446</v>
      </c>
      <c r="G18" s="42" t="s">
        <v>446</v>
      </c>
      <c r="H18" s="42" t="s">
        <v>446</v>
      </c>
      <c r="I18" s="10" t="s">
        <v>469</v>
      </c>
      <c r="J18" s="27"/>
    </row>
    <row r="19" customFormat="false" ht="30" hidden="false" customHeight="true" outlineLevel="0" collapsed="false">
      <c r="B19" s="51"/>
      <c r="C19" s="43" t="s">
        <v>470</v>
      </c>
      <c r="D19" s="51"/>
      <c r="E19" s="9" t="str">
        <f aca="false">COUNTIF(E6:E18,"Available")&amp;" / "&amp;(13-COUNTIF(E6:E18,"Not Applicable"))</f>
        <v>0 / 13</v>
      </c>
      <c r="F19" s="9" t="str">
        <f aca="false">COUNTIF(F6:F18,"Available")&amp;" / "&amp;(13-COUNTIF(F6:F18,"Not Applicable"))</f>
        <v>0 / 13</v>
      </c>
      <c r="G19" s="9" t="str">
        <f aca="false">COUNTIF(G6:G18,"Available")&amp;" / "&amp;(13-COUNTIF(G6:G18,"Not Applicable"))</f>
        <v>0 / 13</v>
      </c>
      <c r="H19" s="9" t="str">
        <f aca="false">COUNTIF(H6:H18,"Available")&amp;" / "&amp;(13-COUNTIF(H6:H18,"Not Applicable"))</f>
        <v>0 / 13</v>
      </c>
      <c r="I19" s="51"/>
      <c r="J19" s="51"/>
    </row>
  </sheetData>
  <mergeCells count="2">
    <mergeCell ref="B2:J2"/>
    <mergeCell ref="B3:J3"/>
  </mergeCells>
  <conditionalFormatting sqref="E6:H18">
    <cfRule type="cellIs" priority="2" operator="equal" aboveAverage="0" equalAverage="0" bottom="0" percent="0" rank="0" text="" dxfId="0">
      <formula>"Available"</formula>
    </cfRule>
    <cfRule type="cellIs" priority="3" operator="equal" aboveAverage="0" equalAverage="0" bottom="0" percent="0" rank="0" text="" dxfId="1">
      <formula>"Pending"</formula>
    </cfRule>
  </conditionalFormatting>
  <dataValidations count="1">
    <dataValidation allowBlank="true" errorStyle="stop" operator="between" showDropDown="false" showErrorMessage="false" showInputMessage="false" sqref="E6:H18" type="list">
      <formula1>"Available,Pending,Not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8"/>
    <col collapsed="false" customWidth="true" hidden="false" outlineLevel="0" max="3" min="3" style="0" width="20"/>
    <col collapsed="false" customWidth="true" hidden="false" outlineLevel="0" max="5" min="4" style="0" width="24"/>
    <col collapsed="false" customWidth="true" hidden="false" outlineLevel="0" max="7" min="6" style="0" width="22"/>
  </cols>
  <sheetData>
    <row r="2" customFormat="false" ht="43.5" hidden="false" customHeight="true" outlineLevel="0" collapsed="false">
      <c r="B2" s="19" t="s">
        <v>471</v>
      </c>
      <c r="C2" s="19"/>
      <c r="D2" s="19"/>
      <c r="E2" s="19"/>
      <c r="F2" s="19"/>
      <c r="G2" s="19"/>
    </row>
    <row r="3" customFormat="false" ht="26.25" hidden="false" customHeight="true" outlineLevel="0" collapsed="false">
      <c r="B3" s="80" t="s">
        <v>472</v>
      </c>
      <c r="C3" s="80"/>
      <c r="D3" s="80"/>
      <c r="E3" s="80"/>
      <c r="F3" s="80"/>
      <c r="G3" s="80"/>
    </row>
    <row r="5" customFormat="false" ht="48" hidden="false" customHeight="true" outlineLevel="0" collapsed="false">
      <c r="B5" s="8" t="s">
        <v>473</v>
      </c>
      <c r="C5" s="8"/>
      <c r="D5" s="8"/>
      <c r="E5" s="8"/>
      <c r="F5" s="8"/>
      <c r="G5" s="8"/>
    </row>
    <row r="6" customFormat="false" ht="68.25" hidden="false" customHeight="true" outlineLevel="0" collapsed="false">
      <c r="B6" s="81" t="s">
        <v>474</v>
      </c>
      <c r="C6" s="81"/>
      <c r="D6" s="81"/>
      <c r="E6" s="81"/>
      <c r="F6" s="81"/>
      <c r="G6" s="81"/>
    </row>
    <row r="8" customFormat="false" ht="68.25" hidden="false" customHeight="true" outlineLevel="0" collapsed="false">
      <c r="B8" s="8" t="s">
        <v>475</v>
      </c>
      <c r="C8" s="8"/>
      <c r="D8" s="8"/>
      <c r="E8" s="8"/>
      <c r="F8" s="8"/>
      <c r="G8" s="8"/>
    </row>
    <row r="10" customFormat="false" ht="57.75" hidden="false" customHeight="true" outlineLevel="0" collapsed="false">
      <c r="B10" s="9" t="s">
        <v>476</v>
      </c>
      <c r="C10" s="9" t="s">
        <v>477</v>
      </c>
      <c r="D10" s="9" t="s">
        <v>381</v>
      </c>
      <c r="E10" s="9" t="s">
        <v>478</v>
      </c>
      <c r="F10" s="9" t="s">
        <v>151</v>
      </c>
      <c r="G10" s="9" t="s">
        <v>479</v>
      </c>
    </row>
    <row r="11" customFormat="false" ht="27.75" hidden="false" customHeight="true" outlineLevel="0" collapsed="false">
      <c r="B11" s="38" t="n">
        <v>1</v>
      </c>
      <c r="C11" s="38" t="s">
        <v>188</v>
      </c>
      <c r="D11" s="82" t="n">
        <f aca="false">'7. Summary &amp; Compliance'!D16</f>
        <v>0</v>
      </c>
      <c r="E11" s="73" t="str">
        <f aca="false">'7. Summary &amp; Compliance'!D26</f>
        <v>-</v>
      </c>
      <c r="F11" s="83" t="str">
        <f aca="false">'7. Summary &amp; Compliance'!D28</f>
        <v>-</v>
      </c>
      <c r="G11" s="84" t="str">
        <f aca="false">'7. Summary &amp; Compliance'!D27</f>
        <v>-</v>
      </c>
    </row>
    <row r="12" customFormat="false" ht="27.75" hidden="false" customHeight="true" outlineLevel="0" collapsed="false">
      <c r="B12" s="38" t="n">
        <v>2</v>
      </c>
      <c r="C12" s="38" t="s">
        <v>189</v>
      </c>
      <c r="D12" s="82" t="n">
        <f aca="false">'7. Summary &amp; Compliance'!E16</f>
        <v>0</v>
      </c>
      <c r="E12" s="73" t="str">
        <f aca="false">'7. Summary &amp; Compliance'!E26</f>
        <v>-</v>
      </c>
      <c r="F12" s="83" t="str">
        <f aca="false">'7. Summary &amp; Compliance'!E28</f>
        <v>-</v>
      </c>
      <c r="G12" s="84" t="str">
        <f aca="false">'7. Summary &amp; Compliance'!E27</f>
        <v>-</v>
      </c>
    </row>
    <row r="13" customFormat="false" ht="27.75" hidden="false" customHeight="true" outlineLevel="0" collapsed="false">
      <c r="B13" s="38" t="n">
        <v>3</v>
      </c>
      <c r="C13" s="38" t="s">
        <v>190</v>
      </c>
      <c r="D13" s="82" t="n">
        <f aca="false">'7. Summary &amp; Compliance'!F16</f>
        <v>0</v>
      </c>
      <c r="E13" s="73" t="str">
        <f aca="false">'7. Summary &amp; Compliance'!F26</f>
        <v>-</v>
      </c>
      <c r="F13" s="83" t="str">
        <f aca="false">'7. Summary &amp; Compliance'!F28</f>
        <v>-</v>
      </c>
      <c r="G13" s="84" t="str">
        <f aca="false">'7. Summary &amp; Compliance'!F27</f>
        <v>-</v>
      </c>
    </row>
    <row r="14" customFormat="false" ht="27.75" hidden="false" customHeight="true" outlineLevel="0" collapsed="false">
      <c r="B14" s="38" t="n">
        <v>4</v>
      </c>
      <c r="C14" s="38" t="s">
        <v>191</v>
      </c>
      <c r="D14" s="82" t="n">
        <f aca="false">'7. Summary &amp; Compliance'!G16</f>
        <v>0</v>
      </c>
      <c r="E14" s="73" t="str">
        <f aca="false">'7. Summary &amp; Compliance'!G26</f>
        <v>-</v>
      </c>
      <c r="F14" s="83" t="str">
        <f aca="false">'7. Summary &amp; Compliance'!G28</f>
        <v>-</v>
      </c>
      <c r="G14" s="84" t="str">
        <f aca="false">'7. Summary &amp; Compliance'!G27</f>
        <v>-</v>
      </c>
    </row>
    <row r="16" customFormat="false" ht="129.75" hidden="false" customHeight="true" outlineLevel="0" collapsed="false">
      <c r="B16" s="8" t="s">
        <v>480</v>
      </c>
      <c r="C16" s="8"/>
      <c r="D16" s="8"/>
      <c r="E16" s="8"/>
      <c r="F16" s="8"/>
      <c r="G16" s="8"/>
    </row>
    <row r="19" customFormat="false" ht="25.5" hidden="false" customHeight="true" outlineLevel="0" collapsed="false">
      <c r="B19" s="85" t="s">
        <v>481</v>
      </c>
      <c r="C19" s="85"/>
      <c r="D19" s="85"/>
      <c r="E19" s="86" t="s">
        <v>482</v>
      </c>
      <c r="F19" s="86"/>
      <c r="G19" s="86"/>
    </row>
    <row r="20" customFormat="false" ht="25.5" hidden="false" customHeight="true" outlineLevel="0" collapsed="false">
      <c r="B20" s="85" t="s">
        <v>483</v>
      </c>
      <c r="C20" s="85"/>
      <c r="D20" s="85"/>
      <c r="E20" s="86" t="s">
        <v>484</v>
      </c>
      <c r="F20" s="86"/>
      <c r="G20" s="86"/>
    </row>
    <row r="21" customFormat="false" ht="25.5" hidden="false" customHeight="true" outlineLevel="0" collapsed="false">
      <c r="B21" s="85"/>
      <c r="C21" s="85"/>
      <c r="D21" s="85"/>
      <c r="E21" s="86" t="s">
        <v>485</v>
      </c>
      <c r="F21" s="86"/>
      <c r="G21" s="86"/>
    </row>
    <row r="22" customFormat="false" ht="25.5" hidden="false" customHeight="true" outlineLevel="0" collapsed="false">
      <c r="B22" s="85" t="s">
        <v>486</v>
      </c>
      <c r="C22" s="85"/>
      <c r="D22" s="85"/>
      <c r="E22" s="86" t="s">
        <v>486</v>
      </c>
      <c r="F22" s="86"/>
      <c r="G22" s="86"/>
    </row>
    <row r="23" customFormat="false" ht="25.5" hidden="false" customHeight="true" outlineLevel="0" collapsed="false">
      <c r="B23" s="85" t="s">
        <v>487</v>
      </c>
      <c r="C23" s="85"/>
      <c r="D23" s="85"/>
      <c r="E23" s="86"/>
      <c r="F23" s="86"/>
      <c r="G23" s="86"/>
    </row>
    <row r="24" customFormat="false" ht="25.5" hidden="false" customHeight="true" outlineLevel="0" collapsed="false">
      <c r="B24" s="85" t="s">
        <v>488</v>
      </c>
      <c r="C24" s="85"/>
      <c r="D24" s="85"/>
      <c r="E24" s="86"/>
      <c r="F24" s="86"/>
      <c r="G24" s="86"/>
    </row>
    <row r="26" customFormat="false" ht="45" hidden="false" customHeight="true" outlineLevel="0" collapsed="false">
      <c r="B26" s="87" t="s">
        <v>489</v>
      </c>
      <c r="C26" s="87"/>
      <c r="D26" s="87"/>
      <c r="E26" s="87"/>
      <c r="F26" s="87"/>
      <c r="G26" s="87"/>
    </row>
  </sheetData>
  <mergeCells count="19">
    <mergeCell ref="B2:G2"/>
    <mergeCell ref="B3:G3"/>
    <mergeCell ref="B5:G5"/>
    <mergeCell ref="B6:G6"/>
    <mergeCell ref="B8:G8"/>
    <mergeCell ref="B16:G16"/>
    <mergeCell ref="B19:D19"/>
    <mergeCell ref="E19:G19"/>
    <mergeCell ref="B20:D20"/>
    <mergeCell ref="E20:G20"/>
    <mergeCell ref="B21:D21"/>
    <mergeCell ref="E21:G21"/>
    <mergeCell ref="B22:D22"/>
    <mergeCell ref="E22:G22"/>
    <mergeCell ref="B23:D23"/>
    <mergeCell ref="E23:G23"/>
    <mergeCell ref="B24:D24"/>
    <mergeCell ref="E24:G24"/>
    <mergeCell ref="B26:G2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2026-10-16T08:33:49Z</dcterms:created>
  <dc:creator>openpyxl</dc:creator>
  <dc:description/>
  <dc:language>en-US</dc:language>
  <cp:lastModifiedBy/>
  <dcterms:modified xsi:type="dcterms:W3CDTF">2026-10-16T08:33:51Z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